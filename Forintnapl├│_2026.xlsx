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Áttekintés" sheetId="1" state="visible" r:id="rId3"/>
    <sheet name="Terv" sheetId="2" state="visible" r:id="rId4"/>
    <sheet name="Tranzakciók" sheetId="3" state="visible" r:id="rId5"/>
  </sheets>
  <definedNames>
    <definedName function="false" hidden="true" localSheetId="1" name="_xlnm._FilterDatabase" vbProcedure="false">Terv!$A$1:$F$308</definedName>
    <definedName function="false" hidden="true" localSheetId="2" name="_xlnm._FilterDatabase" vbProcedure="false">Tranzakciók!$A$1:$G$163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<sst xmlns="http://schemas.openxmlformats.org/spreadsheetml/2006/main" count="1767" uniqueCount="293">
  <si>
    <t xml:space="preserve">Forintnapló 2026</t>
  </si>
  <si>
    <t xml:space="preserve">Minden szám képlet: a Terv és a Tranzakciók lapból számol. A tervet a Terv lap Tervezett oszlopában (kék) írd át, a költéseket a telefonos Forintnapló írja a Tranzakciók lapra, de kézzel is felvehetsz sort.</t>
  </si>
  <si>
    <t xml:space="preserve">Hónap</t>
  </si>
  <si>
    <t xml:space="preserve">Terv. bevétel</t>
  </si>
  <si>
    <t xml:space="preserve">Tény. bevétel</t>
  </si>
  <si>
    <t xml:space="preserve">Terv. kiadás</t>
  </si>
  <si>
    <t xml:space="preserve">Tény. kiadás</t>
  </si>
  <si>
    <t xml:space="preserve">Terv. egyenleg</t>
  </si>
  <si>
    <t xml:space="preserve">Tény. egyenleg</t>
  </si>
  <si>
    <t xml:space="preserve">Kiadás eltérés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</si>
  <si>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</si>
  <si>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</si>
  <si>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</si>
  <si>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</si>
  <si>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</si>
  <si>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</si>
  <si>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</si>
  <si>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</si>
  <si>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</si>
  <si>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</si>
  <si>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</si>
  <si>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</si>
  <si>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Összesen</t>
  </si>
  <si>
    <t xml:space="preserve">Csoport</t>
  </si>
  <si>
    <t xml:space="preserve">Tétel</t>
  </si>
  <si>
    <t xml:space="preserve">Tervezett</t>
  </si>
  <si>
    <t xml:space="preserve">Tényleges</t>
  </si>
  <si>
    <t xml:space="preserve">Különbözet</t>
  </si>
  <si>
    <t xml:space="preserve">BEVÉTEL</t>
  </si>
  <si>
    <t xml:space="preserve">Bevétel 1</t>
  </si>
  <si>
    <t xml:space="preserve">Plusz bevétel</t>
  </si>
  <si>
    <t xml:space="preserve">ÁLLANDÓ KÖLTSÉGEK</t>
  </si>
  <si>
    <t xml:space="preserve">Bérleti díj</t>
  </si>
  <si>
    <t xml:space="preserve">Rezsi</t>
  </si>
  <si>
    <t xml:space="preserve">Telefon</t>
  </si>
  <si>
    <t xml:space="preserve">YouTube Prémium+Google tárhely</t>
  </si>
  <si>
    <t xml:space="preserve">Spotify</t>
  </si>
  <si>
    <t xml:space="preserve">Disney+</t>
  </si>
  <si>
    <t xml:space="preserve">Kondi bérlet</t>
  </si>
  <si>
    <t xml:space="preserve">KÖZLEKEDÉS</t>
  </si>
  <si>
    <t xml:space="preserve">Buszbérlet</t>
  </si>
  <si>
    <t xml:space="preserve">Vonat</t>
  </si>
  <si>
    <t xml:space="preserve">BEVÁSÁRLÁS</t>
  </si>
  <si>
    <t xml:space="preserve">Étel, ital</t>
  </si>
  <si>
    <t xml:space="preserve">Tisztítószer</t>
  </si>
  <si>
    <t xml:space="preserve">Smink és pipere</t>
  </si>
  <si>
    <t xml:space="preserve">Ruhanemű</t>
  </si>
  <si>
    <t xml:space="preserve">Fodrász</t>
  </si>
  <si>
    <t xml:space="preserve">TÁNCÓRÁK</t>
  </si>
  <si>
    <t xml:space="preserve">SwingStars</t>
  </si>
  <si>
    <t xml:space="preserve">Swinghearts 3in1</t>
  </si>
  <si>
    <t xml:space="preserve">Magánóra</t>
  </si>
  <si>
    <t xml:space="preserve">Bulizás</t>
  </si>
  <si>
    <t xml:space="preserve">EVENT KÖLTSÉGEK</t>
  </si>
  <si>
    <t xml:space="preserve">Swing of Music - event</t>
  </si>
  <si>
    <t xml:space="preserve">BudaFest - étel</t>
  </si>
  <si>
    <t xml:space="preserve">Technical Camp - utazás</t>
  </si>
  <si>
    <t xml:space="preserve">Technical Camp - étel</t>
  </si>
  <si>
    <t xml:space="preserve">PAW Pros - event</t>
  </si>
  <si>
    <t xml:space="preserve">Swing of Music - szállás</t>
  </si>
  <si>
    <t xml:space="preserve">MEGTAKARÍTÁSOK, PÉNZÜGYEK</t>
  </si>
  <si>
    <t xml:space="preserve">Megtakarítás</t>
  </si>
  <si>
    <t xml:space="preserve">Banki tranzakciós illeték</t>
  </si>
  <si>
    <t xml:space="preserve">YouTube Prémium</t>
  </si>
  <si>
    <t xml:space="preserve">Grand Party Sofia - event</t>
  </si>
  <si>
    <t xml:space="preserve">King Swing - utazás</t>
  </si>
  <si>
    <t xml:space="preserve">SwingLab Berlin - event</t>
  </si>
  <si>
    <t xml:space="preserve">King Swing - szállás</t>
  </si>
  <si>
    <t xml:space="preserve">SwingLab Berlin - utazás</t>
  </si>
  <si>
    <t xml:space="preserve">Flixbus</t>
  </si>
  <si>
    <t xml:space="preserve">Swing Fiction - event</t>
  </si>
  <si>
    <t xml:space="preserve">Westie Spring Thing - étel</t>
  </si>
  <si>
    <t xml:space="preserve">Hungarian Open - event</t>
  </si>
  <si>
    <t xml:space="preserve">King Swing - étel</t>
  </si>
  <si>
    <t xml:space="preserve">All You Can Move</t>
  </si>
  <si>
    <t xml:space="preserve">WCS Party Vienna - event</t>
  </si>
  <si>
    <t xml:space="preserve">Grand Party Sofia - utazás</t>
  </si>
  <si>
    <t xml:space="preserve">PAW Pro - utazás</t>
  </si>
  <si>
    <t xml:space="preserve">Slovenian Open - szállás</t>
  </si>
  <si>
    <t xml:space="preserve">Swing of Music - utazás</t>
  </si>
  <si>
    <t xml:space="preserve">PAW Pro - étel</t>
  </si>
  <si>
    <t xml:space="preserve">Laptop</t>
  </si>
  <si>
    <t xml:space="preserve">HBO Max</t>
  </si>
  <si>
    <t xml:space="preserve">AYCM</t>
  </si>
  <si>
    <t xml:space="preserve">Swing Fiction - utazás</t>
  </si>
  <si>
    <t xml:space="preserve">Swing of Music - étel</t>
  </si>
  <si>
    <t xml:space="preserve">Milan Modern Swing - utazás</t>
  </si>
  <si>
    <t xml:space="preserve">Hungarian Open - étel</t>
  </si>
  <si>
    <t xml:space="preserve">Marcell</t>
  </si>
  <si>
    <t xml:space="preserve">Swing Fiction - étel</t>
  </si>
  <si>
    <t xml:space="preserve">Swing Fiction - szállás</t>
  </si>
  <si>
    <t xml:space="preserve">WCS Party Vienna - szállás</t>
  </si>
  <si>
    <t xml:space="preserve">SwingLab Berlin - szállás</t>
  </si>
  <si>
    <t xml:space="preserve">Crunchyroll</t>
  </si>
  <si>
    <t xml:space="preserve">Warsaw Halloween Swing - event</t>
  </si>
  <si>
    <t xml:space="preserve">Autumn Swing Challenge - event</t>
  </si>
  <si>
    <t xml:space="preserve">Grand Party Sofia - szállás</t>
  </si>
  <si>
    <t xml:space="preserve">Warsaw Halloween Swing - utazás</t>
  </si>
  <si>
    <t xml:space="preserve">SwingLab Berlin - étel</t>
  </si>
  <si>
    <t xml:space="preserve">ELŐFIZETÉSEK</t>
  </si>
  <si>
    <t xml:space="preserve">ChatGPT</t>
  </si>
  <si>
    <t xml:space="preserve">Google AI Plus</t>
  </si>
  <si>
    <t xml:space="preserve">YouTube</t>
  </si>
  <si>
    <t xml:space="preserve">Claude AI</t>
  </si>
  <si>
    <t xml:space="preserve">Étterem</t>
  </si>
  <si>
    <t xml:space="preserve">Santa Swing - event</t>
  </si>
  <si>
    <t xml:space="preserve">Santa Swing - szállás</t>
  </si>
  <si>
    <t xml:space="preserve">Milan Modern Swing - event</t>
  </si>
  <si>
    <t xml:space="preserve">Grand Party Sofia - étel</t>
  </si>
  <si>
    <t xml:space="preserve">Kifli</t>
  </si>
  <si>
    <t xml:space="preserve">Swinghearts All in</t>
  </si>
  <si>
    <t xml:space="preserve">WCS Party Vienna - utazás</t>
  </si>
  <si>
    <t xml:space="preserve">Milan Modern Swing - szállás</t>
  </si>
  <si>
    <t xml:space="preserve">WCS party - étel</t>
  </si>
  <si>
    <t xml:space="preserve">Lightyear</t>
  </si>
  <si>
    <t xml:space="preserve">Swinghearts 2in1</t>
  </si>
  <si>
    <t xml:space="preserve">Milan Modern Swing - étel</t>
  </si>
  <si>
    <t xml:space="preserve">Warsaw Halloween Swing - étel</t>
  </si>
  <si>
    <t xml:space="preserve">Slovenian Open - event</t>
  </si>
  <si>
    <t xml:space="preserve">Warsaw Halloween Swing - szállás</t>
  </si>
  <si>
    <t xml:space="preserve">Santa Swing - utazás</t>
  </si>
  <si>
    <t xml:space="preserve">Autumn Swing Challenge - étel</t>
  </si>
  <si>
    <t xml:space="preserve">Westie Spring Thing - event</t>
  </si>
  <si>
    <t xml:space="preserve">King Swing - event</t>
  </si>
  <si>
    <t xml:space="preserve">Technical Camp - event, szállás</t>
  </si>
  <si>
    <t xml:space="preserve">Santa Swing - étel</t>
  </si>
  <si>
    <t xml:space="preserve">Dátum</t>
  </si>
  <si>
    <t xml:space="preserve">Összeg</t>
  </si>
  <si>
    <t xml:space="preserve">Megjegyzés</t>
  </si>
  <si>
    <t xml:space="preserve">Azonosító</t>
  </si>
  <si>
    <t xml:space="preserve">Régi táblából</t>
  </si>
  <si>
    <t xml:space="preserve">imp-afa65f7d</t>
  </si>
  <si>
    <t xml:space="preserve">imp-6c38b52d</t>
  </si>
  <si>
    <t xml:space="preserve">imp-bf222e0f</t>
  </si>
  <si>
    <t xml:space="preserve">imp-2f9ff43b</t>
  </si>
  <si>
    <t xml:space="preserve">imp-14b48973</t>
  </si>
  <si>
    <t xml:space="preserve">imp-81a0795b</t>
  </si>
  <si>
    <t xml:space="preserve">imp-f586eb3b</t>
  </si>
  <si>
    <t xml:space="preserve">imp-5ad15857</t>
  </si>
  <si>
    <t xml:space="preserve">imp-2e38b918</t>
  </si>
  <si>
    <t xml:space="preserve">imp-e889c101</t>
  </si>
  <si>
    <t xml:space="preserve">imp-3f3c1afa</t>
  </si>
  <si>
    <t xml:space="preserve">imp-e11ae824</t>
  </si>
  <si>
    <t xml:space="preserve">imp-073d0b81</t>
  </si>
  <si>
    <t xml:space="preserve">imp-8c5d2745</t>
  </si>
  <si>
    <t xml:space="preserve">imp-f4ad7a2f</t>
  </si>
  <si>
    <t xml:space="preserve">imp-aaddfeff</t>
  </si>
  <si>
    <t xml:space="preserve">imp-e1d5e35c</t>
  </si>
  <si>
    <t xml:space="preserve">imp-8c17be40</t>
  </si>
  <si>
    <t xml:space="preserve">imp-140ed82e</t>
  </si>
  <si>
    <t xml:space="preserve">imp-52ef2ea2</t>
  </si>
  <si>
    <t xml:space="preserve">imp-78102abe</t>
  </si>
  <si>
    <t xml:space="preserve">imp-e787dc2f</t>
  </si>
  <si>
    <t xml:space="preserve">imp-79908b9d</t>
  </si>
  <si>
    <t xml:space="preserve">imp-7b971190</t>
  </si>
  <si>
    <t xml:space="preserve">imp-ad45c5f4</t>
  </si>
  <si>
    <t xml:space="preserve">imp-366812b7</t>
  </si>
  <si>
    <t xml:space="preserve">imp-0a222b6e</t>
  </si>
  <si>
    <t xml:space="preserve">imp-93917073</t>
  </si>
  <si>
    <t xml:space="preserve">imp-45fa76a1</t>
  </si>
  <si>
    <t xml:space="preserve">imp-dda79a38</t>
  </si>
  <si>
    <t xml:space="preserve">imp-40ee343e</t>
  </si>
  <si>
    <t xml:space="preserve">imp-df82add2</t>
  </si>
  <si>
    <t xml:space="preserve">imp-54c06061</t>
  </si>
  <si>
    <t xml:space="preserve">imp-548a356e</t>
  </si>
  <si>
    <t xml:space="preserve">imp-dcaf992b</t>
  </si>
  <si>
    <t xml:space="preserve">imp-e83f59ad</t>
  </si>
  <si>
    <t xml:space="preserve">imp-5ddda7ed</t>
  </si>
  <si>
    <t xml:space="preserve">imp-8c5ff8c0</t>
  </si>
  <si>
    <t xml:space="preserve">imp-4b120299</t>
  </si>
  <si>
    <t xml:space="preserve">imp-5b14ebe0</t>
  </si>
  <si>
    <t xml:space="preserve">imp-2a6ea524</t>
  </si>
  <si>
    <t xml:space="preserve">imp-c21a79d2</t>
  </si>
  <si>
    <t xml:space="preserve">imp-59d6c3a1</t>
  </si>
  <si>
    <t xml:space="preserve">imp-e618c3a4</t>
  </si>
  <si>
    <t xml:space="preserve">imp-baf97905</t>
  </si>
  <si>
    <t xml:space="preserve">imp-b97c1a5a</t>
  </si>
  <si>
    <t xml:space="preserve">imp-3c869344</t>
  </si>
  <si>
    <t xml:space="preserve">imp-7974ab77</t>
  </si>
  <si>
    <t xml:space="preserve">imp-db22810d</t>
  </si>
  <si>
    <t xml:space="preserve">imp-9d7c11b5</t>
  </si>
  <si>
    <t xml:space="preserve">imp-d73b036b</t>
  </si>
  <si>
    <t xml:space="preserve">imp-9793fd0c</t>
  </si>
  <si>
    <t xml:space="preserve">imp-d4d7a1ec</t>
  </si>
  <si>
    <t xml:space="preserve">imp-d3d0f775</t>
  </si>
  <si>
    <t xml:space="preserve">imp-c3076b42</t>
  </si>
  <si>
    <t xml:space="preserve">imp-f9d9a594</t>
  </si>
  <si>
    <t xml:space="preserve">imp-88564dc7</t>
  </si>
  <si>
    <t xml:space="preserve">imp-d44b0699</t>
  </si>
  <si>
    <t xml:space="preserve">imp-a457e538</t>
  </si>
  <si>
    <t xml:space="preserve">imp-a1ca797b</t>
  </si>
  <si>
    <t xml:space="preserve">imp-7dbecf5a</t>
  </si>
  <si>
    <t xml:space="preserve">imp-c3ba3474</t>
  </si>
  <si>
    <t xml:space="preserve">imp-1b70d2c8</t>
  </si>
  <si>
    <t xml:space="preserve">imp-fdfb05f7</t>
  </si>
  <si>
    <t xml:space="preserve">imp-cc2cd0dc</t>
  </si>
  <si>
    <t xml:space="preserve">imp-9b92bcca</t>
  </si>
  <si>
    <t xml:space="preserve">imp-23c8f9e6</t>
  </si>
  <si>
    <t xml:space="preserve">imp-77727654</t>
  </si>
  <si>
    <t xml:space="preserve">imp-2d192a8a</t>
  </si>
  <si>
    <t xml:space="preserve">imp-4a9e1965</t>
  </si>
  <si>
    <t xml:space="preserve">imp-fb78cf55</t>
  </si>
  <si>
    <t xml:space="preserve">imp-1038607f</t>
  </si>
  <si>
    <t xml:space="preserve">imp-1b6603b8</t>
  </si>
  <si>
    <t xml:space="preserve">imp-d1cba52d</t>
  </si>
  <si>
    <t xml:space="preserve">imp-d33292c7</t>
  </si>
  <si>
    <t xml:space="preserve">imp-4f8503b9</t>
  </si>
  <si>
    <t xml:space="preserve">imp-5380f790</t>
  </si>
  <si>
    <t xml:space="preserve">imp-e9fdafe3</t>
  </si>
  <si>
    <t xml:space="preserve">imp-c8aafb7b</t>
  </si>
  <si>
    <t xml:space="preserve">imp-1939c1bb</t>
  </si>
  <si>
    <t xml:space="preserve">imp-61dd38a5</t>
  </si>
  <si>
    <t xml:space="preserve">imp-7eb322fc</t>
  </si>
  <si>
    <t xml:space="preserve">imp-b8983e0a</t>
  </si>
  <si>
    <t xml:space="preserve">imp-514a7b3f</t>
  </si>
  <si>
    <t xml:space="preserve">imp-bae76285</t>
  </si>
  <si>
    <t xml:space="preserve">imp-fca83515</t>
  </si>
  <si>
    <t xml:space="preserve">imp-620cd307</t>
  </si>
  <si>
    <t xml:space="preserve">imp-025dcddc</t>
  </si>
  <si>
    <t xml:space="preserve">imp-1349d7c6</t>
  </si>
  <si>
    <t xml:space="preserve">imp-cffa9445</t>
  </si>
  <si>
    <t xml:space="preserve">imp-5883fadd</t>
  </si>
  <si>
    <t xml:space="preserve">imp-4ecddd77</t>
  </si>
  <si>
    <t xml:space="preserve">imp-955ef6ef</t>
  </si>
  <si>
    <t xml:space="preserve">imp-27c9de13</t>
  </si>
  <si>
    <t xml:space="preserve">imp-2885ae8f</t>
  </si>
  <si>
    <t xml:space="preserve">imp-93726f38</t>
  </si>
  <si>
    <t xml:space="preserve">imp-9b1e6781</t>
  </si>
  <si>
    <t xml:space="preserve">imp-34ab3a14</t>
  </si>
  <si>
    <t xml:space="preserve">imp-b4e9e52d</t>
  </si>
  <si>
    <t xml:space="preserve">imp-dc23b7de</t>
  </si>
  <si>
    <t xml:space="preserve">imp-d00375ad</t>
  </si>
  <si>
    <t xml:space="preserve">imp-02390409</t>
  </si>
  <si>
    <t xml:space="preserve">imp-c783a9f0</t>
  </si>
  <si>
    <t xml:space="preserve">imp-595e918d</t>
  </si>
  <si>
    <t xml:space="preserve">imp-09ab784d</t>
  </si>
  <si>
    <t xml:space="preserve">imp-580d42c2</t>
  </si>
  <si>
    <t xml:space="preserve">imp-1220f7a0</t>
  </si>
  <si>
    <t xml:space="preserve">imp-c44dd409</t>
  </si>
  <si>
    <t xml:space="preserve">imp-88223218</t>
  </si>
  <si>
    <t xml:space="preserve">imp-6aec4505</t>
  </si>
  <si>
    <t xml:space="preserve">imp-230398c7</t>
  </si>
  <si>
    <t xml:space="preserve">imp-be6bce59</t>
  </si>
  <si>
    <t xml:space="preserve">imp-47273eb6</t>
  </si>
  <si>
    <t xml:space="preserve">imp-0785417d</t>
  </si>
  <si>
    <t xml:space="preserve">imp-d1299a60</t>
  </si>
  <si>
    <t xml:space="preserve">imp-3752cd18</t>
  </si>
  <si>
    <t xml:space="preserve">imp-b54bf630</t>
  </si>
  <si>
    <t xml:space="preserve">imp-b2967e6a</t>
  </si>
  <si>
    <t xml:space="preserve">imp-b414b74c</t>
  </si>
  <si>
    <t xml:space="preserve">imp-953c367f</t>
  </si>
  <si>
    <t xml:space="preserve">imp-9f8bef84</t>
  </si>
  <si>
    <t xml:space="preserve">imp-dc9593c4</t>
  </si>
  <si>
    <t xml:space="preserve">imp-8bcb4358</t>
  </si>
  <si>
    <t xml:space="preserve">imp-5774d118</t>
  </si>
  <si>
    <t xml:space="preserve">imp-763cf022</t>
  </si>
  <si>
    <t xml:space="preserve">imp-9749bc52</t>
  </si>
  <si>
    <t xml:space="preserve">imp-33870898</t>
  </si>
  <si>
    <t xml:space="preserve">imp-7f4e7c0f</t>
  </si>
  <si>
    <t xml:space="preserve">imp-b421458e</t>
  </si>
  <si>
    <t xml:space="preserve">imp-538b0ff6</t>
  </si>
  <si>
    <t xml:space="preserve">imp-3b5fd2d2</t>
  </si>
  <si>
    <t xml:space="preserve">imp-478c3ba2</t>
  </si>
  <si>
    <t xml:space="preserve">imp-d4ba76a2</t>
  </si>
  <si>
    <t xml:space="preserve">imp-54c92304</t>
  </si>
  <si>
    <t xml:space="preserve">imp-2546ffd8</t>
  </si>
  <si>
    <t xml:space="preserve">imp-e637563b</t>
  </si>
  <si>
    <t xml:space="preserve">imp-39919d09</t>
  </si>
  <si>
    <t xml:space="preserve">imp-f671a081</t>
  </si>
  <si>
    <t xml:space="preserve">imp-b398a5db</t>
  </si>
  <si>
    <t xml:space="preserve">imp-90e72a9b</t>
  </si>
  <si>
    <t xml:space="preserve">imp-695d79be</t>
  </si>
  <si>
    <t xml:space="preserve">imp-3d7f8779</t>
  </si>
  <si>
    <t xml:space="preserve">imp-e890ca0f</t>
  </si>
  <si>
    <t xml:space="preserve">imp-47a1a2b1</t>
  </si>
  <si>
    <t xml:space="preserve">imp-3cca68a7</t>
  </si>
  <si>
    <t xml:space="preserve">imp-16eeff23</t>
  </si>
  <si>
    <t xml:space="preserve">imp-f32221ef</t>
  </si>
  <si>
    <t xml:space="preserve">imp-77b6dc86</t>
  </si>
  <si>
    <t xml:space="preserve">imp-5f2177bc</t>
  </si>
  <si>
    <t xml:space="preserve">imp-23a82606</t>
  </si>
  <si>
    <t xml:space="preserve">imp-79f149e6</t>
  </si>
  <si>
    <t xml:space="preserve">imp-d2e9e61d</t>
  </si>
  <si>
    <t xml:space="preserve">imp-ed0b66ac</t>
  </si>
  <si>
    <t xml:space="preserve">imp-219f7f9e</t>
  </si>
  <si>
    <t xml:space="preserve">imp-370ca742</t>
  </si>
  <si>
    <t xml:space="preserve">imp-9d6e983b</t>
  </si>
  <si>
    <t xml:space="preserve">imp-46c3279b</t>
  </si>
  <si>
    <t xml:space="preserve">imp-fa0c9485</t>
  </si>
  <si>
    <t xml:space="preserve">imp-d51b97bf</t>
  </si>
  <si>
    <t xml:space="preserve">imp-5666ad17</t>
  </si>
  <si>
    <t xml:space="preserve">imp-d8a3d6a8</t>
  </si>
  <si>
    <t xml:space="preserve">imp-d718ec18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</si>
</sst>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Ft&quot;;\-#,##0&quot; Ft&quot;;\–"/>
    <numFmt numFmtId="166" formatCode="yyyy\.mm\.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5C4E"/>
      <name val="Arial"/>
      <family val="0"/>
      <charset val="1"/>
    </font>
    <font>
      <i val="true"/>
      <sz val="9"/>
      <color rgb="FF5D6A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A968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5C4E"/>
        <bgColor rgb="FF5D6A6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CD4"/>
      </bottom>
      <diagonal/>
    </border>
    <border diagonalUp="false" diagonalDown="false">
      <left/>
      <right/>
      <top style="thin">
        <color rgb="FF1F5C4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5C4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A968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C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A63"/>
      <rgbColor rgb="FF8A968F"/>
      <rgbColor rgb="FF003366"/>
      <rgbColor rgb="FF339966"/>
      <rgbColor rgb="FF003300"/>
      <rgbColor rgb="FF333300"/>
      <rgbColor rgb="FF993300"/>
      <rgbColor rgb="FF993366"/>
      <rgbColor rgb="FF333399"/>
      <rgbColor rgb="FF1F5C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5"/>
  </cols>
  <sheetData>
    <row r="1" customFormat="false" ht="22.0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6" t="n">
        <f aca="false">SUMIFS(Terv!$D:$D,Terv!$A:$A,$A5,Terv!$B:$B,"BEVÉTEL")</f>
        <v>509100</v>
      </c>
      <c r="C5" s="6" t="n">
        <f aca="false">SUMIFS(Tranzakciók!$E:$E,Tranzakciók!$B:$B,$A5,Tranzakciók!$C:$C,"BEVÉTEL")</f>
        <v>497150</v>
      </c>
      <c r="D5" s="6" t="n">
        <f aca="false">SUMIFS(Terv!$D:$D,Terv!$A:$A,$A5)-B5</f>
        <v>490835</v>
      </c>
      <c r="E5" s="6" t="n">
        <f aca="false">SUMIFS(Tranzakciók!$E:$E,Tranzakciók!$B:$B,$A5)-C5</f>
        <v>410107</v>
      </c>
      <c r="F5" s="6" t="n">
        <f aca="false">B5-D5</f>
        <v>18265</v>
      </c>
      <c r="G5" s="6" t="n">
        <f aca="false">C5-E5</f>
        <v>87043</v>
      </c>
      <c r="H5" s="6" t="n">
        <f aca="false">D5-E5</f>
        <v>80728</v>
      </c>
    </row>
    <row r="6" customFormat="false" ht="15" hidden="false" customHeight="false" outlineLevel="0" collapsed="false">
      <c r="A6" s="5" t="s">
        <v>11</v>
      </c>
      <c r="B6" s="6" t="n">
        <f aca="false">SUMIFS(Terv!$D:$D,Terv!$A:$A,$A6,Terv!$B:$B,"BEVÉTEL")</f>
        <v>522150</v>
      </c>
      <c r="C6" s="6" t="n">
        <f aca="false">SUMIFS(Tranzakciók!$E:$E,Tranzakciók!$B:$B,$A6,Tranzakciók!$C:$C,"BEVÉTEL")</f>
        <v>522150</v>
      </c>
      <c r="D6" s="6" t="n">
        <f aca="false">SUMIFS(Terv!$D:$D,Terv!$A:$A,$A6)-B6</f>
        <v>501769</v>
      </c>
      <c r="E6" s="6" t="n">
        <f aca="false">SUMIFS(Tranzakciók!$E:$E,Tranzakciók!$B:$B,$A6)-C6</f>
        <v>413754</v>
      </c>
      <c r="F6" s="6" t="n">
        <f aca="false">B6-D6</f>
        <v>20381</v>
      </c>
      <c r="G6" s="6" t="n">
        <f aca="false">C6-E6</f>
        <v>108396</v>
      </c>
      <c r="H6" s="6" t="n">
        <f aca="false">D6-E6</f>
        <v>88015</v>
      </c>
    </row>
    <row r="7" customFormat="false" ht="15" hidden="false" customHeight="false" outlineLevel="0" collapsed="false">
      <c r="A7" s="5" t="s">
        <v>12</v>
      </c>
      <c r="B7" s="6" t="n">
        <f aca="false">SUMIFS(Terv!$D:$D,Terv!$A:$A,$A7,Terv!$B:$B,"BEVÉTEL")</f>
        <v>581626</v>
      </c>
      <c r="C7" s="6" t="n">
        <f aca="false">SUMIFS(Tranzakciók!$E:$E,Tranzakciók!$B:$B,$A7,Tranzakciók!$C:$C,"BEVÉTEL")</f>
        <v>541160</v>
      </c>
      <c r="D7" s="6" t="n">
        <f aca="false">SUMIFS(Terv!$D:$D,Terv!$A:$A,$A7)-B7</f>
        <v>553109</v>
      </c>
      <c r="E7" s="6" t="n">
        <f aca="false">SUMIFS(Tranzakciók!$E:$E,Tranzakciók!$B:$B,$A7)-C7</f>
        <v>556453</v>
      </c>
      <c r="F7" s="6" t="n">
        <f aca="false">B7-D7</f>
        <v>28517</v>
      </c>
      <c r="G7" s="6" t="n">
        <f aca="false">C7-E7</f>
        <v>-15293</v>
      </c>
      <c r="H7" s="6" t="n">
        <f aca="false">D7-E7</f>
        <v>-3344</v>
      </c>
    </row>
    <row r="8" customFormat="false" ht="15" hidden="false" customHeight="false" outlineLevel="0" collapsed="false">
      <c r="A8" s="5" t="s">
        <v>13</v>
      </c>
      <c r="B8" s="6" t="n">
        <f aca="false">SUMIFS(Terv!$D:$D,Terv!$A:$A,$A8,Terv!$B:$B,"BEVÉTEL")</f>
        <v>551160</v>
      </c>
      <c r="C8" s="6" t="n">
        <f aca="false">SUMIFS(Tranzakciók!$E:$E,Tranzakciók!$B:$B,$A8,Tranzakciók!$C:$C,"BEVÉTEL")</f>
        <v>551160</v>
      </c>
      <c r="D8" s="6" t="n">
        <f aca="false">SUMIFS(Terv!$D:$D,Terv!$A:$A,$A8)-B8</f>
        <v>523787</v>
      </c>
      <c r="E8" s="6" t="n">
        <f aca="false">SUMIFS(Tranzakciók!$E:$E,Tranzakciók!$B:$B,$A8)-C8</f>
        <v>317574</v>
      </c>
      <c r="F8" s="6" t="n">
        <f aca="false">B8-D8</f>
        <v>27373</v>
      </c>
      <c r="G8" s="6" t="n">
        <f aca="false">C8-E8</f>
        <v>233586</v>
      </c>
      <c r="H8" s="6" t="n">
        <f aca="false">D8-E8</f>
        <v>206213</v>
      </c>
    </row>
    <row r="9" customFormat="false" ht="15" hidden="false" customHeight="false" outlineLevel="0" collapsed="false">
      <c r="A9" s="5" t="s">
        <v>14</v>
      </c>
      <c r="B9" s="6" t="n">
        <f aca="false">SUMIFS(Terv!$D:$D,Terv!$A:$A,$A9,Terv!$B:$B,"BEVÉTEL")</f>
        <v>588495</v>
      </c>
      <c r="C9" s="6" t="n">
        <f aca="false">SUMIFS(Tranzakciók!$E:$E,Tranzakciók!$B:$B,$A9,Tranzakciók!$C:$C,"BEVÉTEL")</f>
        <v>588495</v>
      </c>
      <c r="D9" s="6" t="n">
        <f aca="false">SUMIFS(Terv!$D:$D,Terv!$A:$A,$A9)-B9</f>
        <v>523194</v>
      </c>
      <c r="E9" s="6" t="n">
        <f aca="false">SUMIFS(Tranzakciók!$E:$E,Tranzakciók!$B:$B,$A9)-C9</f>
        <v>363894</v>
      </c>
      <c r="F9" s="6" t="n">
        <f aca="false">B9-D9</f>
        <v>65301</v>
      </c>
      <c r="G9" s="6" t="n">
        <f aca="false">C9-E9</f>
        <v>224601</v>
      </c>
      <c r="H9" s="6" t="n">
        <f aca="false">D9-E9</f>
        <v>159300</v>
      </c>
    </row>
    <row r="10" customFormat="false" ht="15" hidden="false" customHeight="false" outlineLevel="0" collapsed="false">
      <c r="A10" s="5" t="s">
        <v>15</v>
      </c>
      <c r="B10" s="6" t="n">
        <f aca="false">SUMIFS(Terv!$D:$D,Terv!$A:$A,$A10,Terv!$B:$B,"BEVÉTEL")</f>
        <v>541160</v>
      </c>
      <c r="C10" s="6" t="n">
        <f aca="false">SUMIFS(Tranzakciók!$E:$E,Tranzakciók!$B:$B,$A10,Tranzakciók!$C:$C,"BEVÉTEL")</f>
        <v>0</v>
      </c>
      <c r="D10" s="6" t="n">
        <f aca="false">SUMIFS(Terv!$D:$D,Terv!$A:$A,$A10)-B10</f>
        <v>468160</v>
      </c>
      <c r="E10" s="6" t="n">
        <f aca="false">SUMIFS(Tranzakciók!$E:$E,Tranzakciók!$B:$B,$A10)-C10</f>
        <v>410225</v>
      </c>
      <c r="F10" s="6" t="n">
        <f aca="false">B10-D10</f>
        <v>73000</v>
      </c>
      <c r="G10" s="6" t="n">
        <f aca="false">C10-E10</f>
        <v>-410225</v>
      </c>
      <c r="H10" s="6" t="n">
        <f aca="false">D10-E10</f>
        <v>57935</v>
      </c>
    </row>
    <row r="11" customFormat="false" ht="15" hidden="false" customHeight="false" outlineLevel="0" collapsed="false">
      <c r="A11" s="5" t="s">
        <v>16</v>
      </c>
      <c r="B11" s="6" t="n">
        <f aca="false">SUMIFS(Terv!$D:$D,Terv!$A:$A,$A11,Terv!$B:$B,"BEVÉTEL")</f>
        <v>557917</v>
      </c>
      <c r="C11" s="6" t="n">
        <f aca="false">SUMIFS(Tranzakciók!$E:$E,Tranzakciók!$B:$B,$A11,Tranzakciók!$C:$C,"BEVÉTEL")</f>
        <v>557917</v>
      </c>
      <c r="D11" s="6" t="n">
        <f aca="false">SUMIFS(Terv!$D:$D,Terv!$A:$A,$A11)-B11</f>
        <v>454794</v>
      </c>
      <c r="E11" s="6" t="n">
        <f aca="false">SUMIFS(Tranzakciók!$E:$E,Tranzakciók!$B:$B,$A11)-C11</f>
        <v>382819</v>
      </c>
      <c r="F11" s="6" t="n">
        <f aca="false">B11-D11</f>
        <v>103123</v>
      </c>
      <c r="G11" s="6" t="n">
        <f aca="false">C11-E11</f>
        <v>175098</v>
      </c>
      <c r="H11" s="6" t="n">
        <f aca="false">D11-E11</f>
        <v>71975</v>
      </c>
    </row>
    <row r="12" customFormat="false" ht="15" hidden="false" customHeight="false" outlineLevel="0" collapsed="false">
      <c r="A12" s="5" t="s">
        <v>17</v>
      </c>
      <c r="B12" s="6" t="n">
        <f aca="false">SUMIFS(Terv!$D:$D,Terv!$A:$A,$A12,Terv!$B:$B,"BEVÉTEL")</f>
        <v>541160</v>
      </c>
      <c r="C12" s="6" t="n">
        <f aca="false">SUMIFS(Tranzakciók!$E:$E,Tranzakciók!$B:$B,$A12,Tranzakciók!$C:$C,"BEVÉTEL")</f>
        <v>0</v>
      </c>
      <c r="D12" s="6" t="n">
        <f aca="false">SUMIFS(Terv!$D:$D,Terv!$A:$A,$A12)-B12</f>
        <v>524767</v>
      </c>
      <c r="E12" s="6" t="n">
        <f aca="false">SUMIFS(Tranzakciók!$E:$E,Tranzakciók!$B:$B,$A12)-C12</f>
        <v>315997</v>
      </c>
      <c r="F12" s="6" t="n">
        <f aca="false">B12-D12</f>
        <v>16393</v>
      </c>
      <c r="G12" s="6" t="n">
        <f aca="false">C12-E12</f>
        <v>-315997</v>
      </c>
      <c r="H12" s="6" t="n">
        <f aca="false">D12-E12</f>
        <v>208770</v>
      </c>
    </row>
    <row r="13" customFormat="false" ht="15" hidden="false" customHeight="false" outlineLevel="0" collapsed="false">
      <c r="A13" s="5" t="s">
        <v>18</v>
      </c>
      <c r="B13" s="6" t="n">
        <f aca="false">SUMIFS(Terv!$D:$D,Terv!$A:$A,$A13,Terv!$B:$B,"BEVÉTEL")</f>
        <v>577150</v>
      </c>
      <c r="C13" s="6" t="n">
        <f aca="false">SUMIFS(Tranzakciók!$E:$E,Tranzakciók!$B:$B,$A13,Tranzakciók!$C:$C,"BEVÉTEL")</f>
        <v>577150</v>
      </c>
      <c r="D13" s="6" t="n">
        <f aca="false">SUMIFS(Terv!$D:$D,Terv!$A:$A,$A13)-B13</f>
        <v>548990</v>
      </c>
      <c r="E13" s="6" t="n">
        <f aca="false">SUMIFS(Tranzakciók!$E:$E,Tranzakciók!$B:$B,$A13)-C13</f>
        <v>134936</v>
      </c>
      <c r="F13" s="6" t="n">
        <f aca="false">B13-D13</f>
        <v>28160</v>
      </c>
      <c r="G13" s="6" t="n">
        <f aca="false">C13-E13</f>
        <v>442214</v>
      </c>
      <c r="H13" s="6" t="n">
        <f aca="false">D13-E13</f>
        <v>414054</v>
      </c>
    </row>
    <row r="14" customFormat="false" ht="15" hidden="false" customHeight="false" outlineLevel="0" collapsed="false">
      <c r="A14" s="5" t="s">
        <v>19</v>
      </c>
      <c r="B14" s="6" t="n">
        <f aca="false">SUMIFS(Terv!$D:$D,Terv!$A:$A,$A14,Terv!$B:$B,"BEVÉTEL")</f>
        <v>541160</v>
      </c>
      <c r="C14" s="6" t="n">
        <f aca="false">SUMIFS(Tranzakciók!$E:$E,Tranzakciók!$B:$B,$A14,Tranzakciók!$C:$C,"BEVÉTEL")</f>
        <v>0</v>
      </c>
      <c r="D14" s="6" t="n">
        <f aca="false">SUMIFS(Terv!$D:$D,Terv!$A:$A,$A14)-B14</f>
        <v>532516</v>
      </c>
      <c r="E14" s="6" t="n">
        <f aca="false">SUMIFS(Tranzakciók!$E:$E,Tranzakciók!$B:$B,$A14)-C14</f>
        <v>0</v>
      </c>
      <c r="F14" s="6" t="n">
        <f aca="false">B14-D14</f>
        <v>8644</v>
      </c>
      <c r="G14" s="6" t="n">
        <f aca="false">C14-E14</f>
        <v>0</v>
      </c>
      <c r="H14" s="6" t="n">
        <f aca="false">D14-E14</f>
        <v>532516</v>
      </c>
    </row>
    <row r="15" customFormat="false" ht="15" hidden="false" customHeight="false" outlineLevel="0" collapsed="false">
      <c r="A15" s="5" t="s">
        <v>20</v>
      </c>
      <c r="B15" s="6" t="n">
        <f aca="false">SUMIFS(Terv!$D:$D,Terv!$A:$A,$A15,Terv!$B:$B,"BEVÉTEL")</f>
        <v>541160</v>
      </c>
      <c r="C15" s="6" t="n">
        <f aca="false">SUMIFS(Tranzakciók!$E:$E,Tranzakciók!$B:$B,$A15,Tranzakciók!$C:$C,"BEVÉTEL")</f>
        <v>0</v>
      </c>
      <c r="D15" s="6" t="n">
        <f aca="false">SUMIFS(Terv!$D:$D,Terv!$A:$A,$A15)-B15</f>
        <v>524516</v>
      </c>
      <c r="E15" s="6" t="n">
        <f aca="false">SUMIFS(Tranzakciók!$E:$E,Tranzakciók!$B:$B,$A15)-C15</f>
        <v>0</v>
      </c>
      <c r="F15" s="6" t="n">
        <f aca="false">B15-D15</f>
        <v>16644</v>
      </c>
      <c r="G15" s="6" t="n">
        <f aca="false">C15-E15</f>
        <v>0</v>
      </c>
      <c r="H15" s="6" t="n">
        <f aca="false">D15-E15</f>
        <v>524516</v>
      </c>
    </row>
    <row r="16" customFormat="false" ht="15" hidden="false" customHeight="false" outlineLevel="0" collapsed="false">
      <c r="A16" s="5" t="s">
        <v>21</v>
      </c>
      <c r="B16" s="6" t="n">
        <f aca="false">SUMIFS(Terv!$D:$D,Terv!$A:$A,$A16,Terv!$B:$B,"BEVÉTEL")</f>
        <v>541160</v>
      </c>
      <c r="C16" s="6" t="n">
        <f aca="false">SUMIFS(Tranzakciók!$E:$E,Tranzakciók!$B:$B,$A16,Tranzakciók!$C:$C,"BEVÉTEL")</f>
        <v>0</v>
      </c>
      <c r="D16" s="6" t="n">
        <f aca="false">SUMIFS(Terv!$D:$D,Terv!$A:$A,$A16)-B16</f>
        <v>537516</v>
      </c>
      <c r="E16" s="6" t="n">
        <f aca="false">SUMIFS(Tranzakciók!$E:$E,Tranzakciók!$B:$B,$A16)-C16</f>
        <v>0</v>
      </c>
      <c r="F16" s="6" t="n">
        <f aca="false">B16-D16</f>
        <v>3644</v>
      </c>
      <c r="G16" s="6" t="n">
        <f aca="false">C16-E16</f>
        <v>0</v>
      </c>
      <c r="H16" s="6" t="n">
        <f aca="false">D16-E16</f>
        <v>537516</v>
      </c>
    </row>
    <row r="17" customFormat="false" ht="15" hidden="false" customHeight="false" outlineLevel="0" collapsed="false">
      <c r="A17" s="7" t="s">
        <v>22</v>
      </c>
      <c r="B17" s="8" t="n">
        <f aca="false">SUM(B5:B16)</f>
        <v>6593398</v>
      </c>
      <c r="C17" s="8" t="n">
        <f aca="false">SUM(C5:C16)</f>
        <v>3835182</v>
      </c>
      <c r="D17" s="8" t="n">
        <f aca="false">SUM(D5:D16)</f>
        <v>6183953</v>
      </c>
      <c r="E17" s="8" t="n">
        <f aca="false">SUM(E5:E16)</f>
        <v>3305759</v>
      </c>
      <c r="F17" s="8" t="n">
        <f aca="false">SUM(F5:F16)</f>
        <v>409445</v>
      </c>
      <c r="G17" s="8" t="n">
        <f aca="false">SUM(G5:G16)</f>
        <v>529423</v>
      </c>
      <c r="H17" s="8" t="n">
        <f aca="false">SUM(H5:H16)</f>
        <v>2878194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6" min="4" style="0" width="14"/>
  </cols>
  <sheetData>
    <row r="1" customFormat="false" ht="21.75" hidden="false" customHeight="true" outlineLevel="0" collapsed="false">
      <c r="A1" s="9" t="s">
        <v>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</row>
    <row r="2" customFormat="false" ht="15" hidden="false" customHeight="false" outlineLevel="0" collapsed="false">
      <c r="A2" s="5" t="s">
        <v>10</v>
      </c>
      <c r="B2" s="5" t="s">
        <v>28</v>
      </c>
      <c r="C2" s="5" t="s">
        <v>29</v>
      </c>
      <c r="D2" s="10" t="n">
        <v>497150</v>
      </c>
      <c r="E2" s="6" t="n">
        <f aca="false">SUMIFS(Tranzakciók!$E:$E,Tranzakciók!$B:$B,$A2,Tranzakciók!$C:$C,$B2,Tranzakciók!$D:$D,$C2)</f>
        <v>497150</v>
      </c>
      <c r="F2" s="6" t="n">
        <f aca="false">IF($B2="BEVÉTEL",E2-D2,D2-E2)</f>
        <v>0</v>
      </c>
    </row>
    <row r="3" customFormat="false" ht="15" hidden="false" customHeight="false" outlineLevel="0" collapsed="false">
      <c r="A3" s="5" t="s">
        <v>10</v>
      </c>
      <c r="B3" s="5" t="s">
        <v>28</v>
      </c>
      <c r="C3" s="5" t="s">
        <v>30</v>
      </c>
      <c r="D3" s="10" t="n">
        <v>11950</v>
      </c>
      <c r="E3" s="6" t="n">
        <f aca="false">SUMIFS(Tranzakciók!$E:$E,Tranzakciók!$B:$B,$A3,Tranzakciók!$C:$C,$B3,Tranzakciók!$D:$D,$C3)</f>
        <v>0</v>
      </c>
      <c r="F3" s="6" t="n">
        <f aca="false">IF($B3="BEVÉTEL",E3-D3,D3-E3)</f>
        <v>-11950</v>
      </c>
    </row>
    <row r="4" customFormat="false" ht="15" hidden="false" customHeight="false" outlineLevel="0" collapsed="false">
      <c r="A4" s="5" t="s">
        <v>10</v>
      </c>
      <c r="B4" s="5" t="s">
        <v>31</v>
      </c>
      <c r="C4" s="5" t="s">
        <v>32</v>
      </c>
      <c r="D4" s="10" t="n">
        <v>90000</v>
      </c>
      <c r="E4" s="6" t="n">
        <f aca="false">SUMIFS(Tranzakciók!$E:$E,Tranzakciók!$B:$B,$A4,Tranzakciók!$C:$C,$B4,Tranzakciók!$D:$D,$C4)</f>
        <v>90000</v>
      </c>
      <c r="F4" s="6" t="n">
        <f aca="false">IF($B4="BEVÉTEL",E4-D4,D4-E4)</f>
        <v>0</v>
      </c>
    </row>
    <row r="5" customFormat="false" ht="15" hidden="false" customHeight="false" outlineLevel="0" collapsed="false">
      <c r="A5" s="5" t="s">
        <v>10</v>
      </c>
      <c r="B5" s="5" t="s">
        <v>31</v>
      </c>
      <c r="C5" s="5" t="s">
        <v>33</v>
      </c>
      <c r="D5" s="10" t="n">
        <v>15680</v>
      </c>
      <c r="E5" s="6" t="n">
        <f aca="false">SUMIFS(Tranzakciók!$E:$E,Tranzakciók!$B:$B,$A5,Tranzakciók!$C:$C,$B5,Tranzakciók!$D:$D,$C5)</f>
        <v>15680</v>
      </c>
      <c r="F5" s="6" t="n">
        <f aca="false">IF($B5="BEVÉTEL",E5-D5,D5-E5)</f>
        <v>0</v>
      </c>
    </row>
    <row r="6" customFormat="false" ht="15" hidden="false" customHeight="false" outlineLevel="0" collapsed="false">
      <c r="A6" s="5" t="s">
        <v>10</v>
      </c>
      <c r="B6" s="5" t="s">
        <v>31</v>
      </c>
      <c r="C6" s="5" t="s">
        <v>34</v>
      </c>
      <c r="D6" s="10" t="n">
        <v>14385</v>
      </c>
      <c r="E6" s="6" t="n">
        <f aca="false">SUMIFS(Tranzakciók!$E:$E,Tranzakciók!$B:$B,$A6,Tranzakciók!$C:$C,$B6,Tranzakciók!$D:$D,$C6)</f>
        <v>14385</v>
      </c>
      <c r="F6" s="6" t="n">
        <f aca="false">IF($B6="BEVÉTEL",E6-D6,D6-E6)</f>
        <v>0</v>
      </c>
    </row>
    <row r="7" customFormat="false" ht="15" hidden="false" customHeight="false" outlineLevel="0" collapsed="false">
      <c r="A7" s="5" t="s">
        <v>10</v>
      </c>
      <c r="B7" s="5" t="s">
        <v>31</v>
      </c>
      <c r="C7" s="5" t="s">
        <v>35</v>
      </c>
      <c r="D7" s="10" t="n">
        <v>6790</v>
      </c>
      <c r="E7" s="6" t="n">
        <f aca="false">SUMIFS(Tranzakciók!$E:$E,Tranzakciók!$B:$B,$A7,Tranzakciók!$C:$C,$B7,Tranzakciók!$D:$D,$C7)</f>
        <v>0</v>
      </c>
      <c r="F7" s="6" t="n">
        <f aca="false">IF($B7="BEVÉTEL",E7-D7,D7-E7)</f>
        <v>6790</v>
      </c>
    </row>
    <row r="8" customFormat="false" ht="15" hidden="false" customHeight="false" outlineLevel="0" collapsed="false">
      <c r="A8" s="5" t="s">
        <v>10</v>
      </c>
      <c r="B8" s="5" t="s">
        <v>31</v>
      </c>
      <c r="C8" s="5" t="s">
        <v>36</v>
      </c>
      <c r="D8" s="10" t="n">
        <v>1990</v>
      </c>
      <c r="E8" s="6" t="n">
        <f aca="false">SUMIFS(Tranzakciók!$E:$E,Tranzakciók!$B:$B,$A8,Tranzakciók!$C:$C,$B8,Tranzakciók!$D:$D,$C8)</f>
        <v>0</v>
      </c>
      <c r="F8" s="6" t="n">
        <f aca="false">IF($B8="BEVÉTEL",E8-D8,D8-E8)</f>
        <v>1990</v>
      </c>
    </row>
    <row r="9" customFormat="false" ht="15" hidden="false" customHeight="false" outlineLevel="0" collapsed="false">
      <c r="A9" s="5" t="s">
        <v>10</v>
      </c>
      <c r="B9" s="5" t="s">
        <v>31</v>
      </c>
      <c r="C9" s="5" t="s">
        <v>37</v>
      </c>
      <c r="D9" s="10" t="n">
        <v>2990</v>
      </c>
      <c r="E9" s="6" t="n">
        <f aca="false">SUMIFS(Tranzakciók!$E:$E,Tranzakciók!$B:$B,$A9,Tranzakciók!$C:$C,$B9,Tranzakciók!$D:$D,$C9)</f>
        <v>2990</v>
      </c>
      <c r="F9" s="6" t="n">
        <f aca="false">IF($B9="BEVÉTEL",E9-D9,D9-E9)</f>
        <v>0</v>
      </c>
    </row>
    <row r="10" customFormat="false" ht="15" hidden="false" customHeight="false" outlineLevel="0" collapsed="false">
      <c r="A10" s="5" t="s">
        <v>10</v>
      </c>
      <c r="B10" s="5" t="s">
        <v>31</v>
      </c>
      <c r="C10" s="5" t="s">
        <v>38</v>
      </c>
      <c r="D10" s="10" t="n">
        <v>23000</v>
      </c>
      <c r="E10" s="6" t="n">
        <f aca="false">SUMIFS(Tranzakciók!$E:$E,Tranzakciók!$B:$B,$A10,Tranzakciók!$C:$C,$B10,Tranzakciók!$D:$D,$C10)</f>
        <v>23000</v>
      </c>
      <c r="F10" s="6" t="n">
        <f aca="false">IF($B10="BEVÉTEL",E10-D10,D10-E10)</f>
        <v>0</v>
      </c>
    </row>
    <row r="11" customFormat="false" ht="15" hidden="false" customHeight="false" outlineLevel="0" collapsed="false">
      <c r="A11" s="5" t="s">
        <v>10</v>
      </c>
      <c r="B11" s="5" t="s">
        <v>39</v>
      </c>
      <c r="C11" s="5" t="s">
        <v>40</v>
      </c>
      <c r="D11" s="10" t="n">
        <v>0</v>
      </c>
      <c r="E11" s="6" t="n">
        <f aca="false">SUMIFS(Tranzakciók!$E:$E,Tranzakciók!$B:$B,$A11,Tranzakciók!$C:$C,$B11,Tranzakciók!$D:$D,$C11)</f>
        <v>0</v>
      </c>
      <c r="F11" s="6" t="n">
        <f aca="false">IF($B11="BEVÉTEL",E11-D11,D11-E11)</f>
        <v>0</v>
      </c>
    </row>
    <row r="12" customFormat="false" ht="15" hidden="false" customHeight="false" outlineLevel="0" collapsed="false">
      <c r="A12" s="5" t="s">
        <v>10</v>
      </c>
      <c r="B12" s="5" t="s">
        <v>39</v>
      </c>
      <c r="C12" s="5" t="s">
        <v>41</v>
      </c>
      <c r="D12" s="10" t="n">
        <v>3000</v>
      </c>
      <c r="E12" s="6" t="n">
        <f aca="false">SUMIFS(Tranzakciók!$E:$E,Tranzakciók!$B:$B,$A12,Tranzakciók!$C:$C,$B12,Tranzakciók!$D:$D,$C12)</f>
        <v>0</v>
      </c>
      <c r="F12" s="6" t="n">
        <f aca="false">IF($B12="BEVÉTEL",E12-D12,D12-E12)</f>
        <v>3000</v>
      </c>
    </row>
    <row r="13" customFormat="false" ht="15" hidden="false" customHeight="false" outlineLevel="0" collapsed="false">
      <c r="A13" s="5" t="s">
        <v>10</v>
      </c>
      <c r="B13" s="5" t="s">
        <v>42</v>
      </c>
      <c r="C13" s="5" t="s">
        <v>43</v>
      </c>
      <c r="D13" s="10" t="n">
        <v>60000</v>
      </c>
      <c r="E13" s="6" t="n">
        <f aca="false">SUMIFS(Tranzakciók!$E:$E,Tranzakciók!$B:$B,$A13,Tranzakciók!$C:$C,$B13,Tranzakciók!$D:$D,$C13)</f>
        <v>10085</v>
      </c>
      <c r="F13" s="6" t="n">
        <f aca="false">IF($B13="BEVÉTEL",E13-D13,D13-E13)</f>
        <v>49915</v>
      </c>
    </row>
    <row r="14" customFormat="false" ht="15" hidden="false" customHeight="false" outlineLevel="0" collapsed="false">
      <c r="A14" s="5" t="s">
        <v>10</v>
      </c>
      <c r="B14" s="5" t="s">
        <v>42</v>
      </c>
      <c r="C14" s="5" t="s">
        <v>44</v>
      </c>
      <c r="D14" s="10" t="n">
        <v>2500</v>
      </c>
      <c r="E14" s="6" t="n">
        <f aca="false">SUMIFS(Tranzakciók!$E:$E,Tranzakciók!$B:$B,$A14,Tranzakciók!$C:$C,$B14,Tranzakciók!$D:$D,$C14)</f>
        <v>0</v>
      </c>
      <c r="F14" s="6" t="n">
        <f aca="false">IF($B14="BEVÉTEL",E14-D14,D14-E14)</f>
        <v>2500</v>
      </c>
    </row>
    <row r="15" customFormat="false" ht="15" hidden="false" customHeight="false" outlineLevel="0" collapsed="false">
      <c r="A15" s="5" t="s">
        <v>10</v>
      </c>
      <c r="B15" s="5" t="s">
        <v>42</v>
      </c>
      <c r="C15" s="5" t="s">
        <v>45</v>
      </c>
      <c r="D15" s="10" t="n">
        <v>1500</v>
      </c>
      <c r="E15" s="6" t="n">
        <f aca="false">SUMIFS(Tranzakciók!$E:$E,Tranzakciók!$B:$B,$A15,Tranzakciók!$C:$C,$B15,Tranzakciók!$D:$D,$C15)</f>
        <v>0</v>
      </c>
      <c r="F15" s="6" t="n">
        <f aca="false">IF($B15="BEVÉTEL",E15-D15,D15-E15)</f>
        <v>1500</v>
      </c>
    </row>
    <row r="16" customFormat="false" ht="15" hidden="false" customHeight="false" outlineLevel="0" collapsed="false">
      <c r="A16" s="5" t="s">
        <v>10</v>
      </c>
      <c r="B16" s="5" t="s">
        <v>42</v>
      </c>
      <c r="C16" s="5" t="s">
        <v>46</v>
      </c>
      <c r="D16" s="10" t="n">
        <v>15000</v>
      </c>
      <c r="E16" s="6" t="n">
        <f aca="false">SUMIFS(Tranzakciók!$E:$E,Tranzakciók!$B:$B,$A16,Tranzakciók!$C:$C,$B16,Tranzakciók!$D:$D,$C16)</f>
        <v>15000</v>
      </c>
      <c r="F16" s="6" t="n">
        <f aca="false">IF($B16="BEVÉTEL",E16-D16,D16-E16)</f>
        <v>0</v>
      </c>
    </row>
    <row r="17" customFormat="false" ht="15" hidden="false" customHeight="false" outlineLevel="0" collapsed="false">
      <c r="A17" s="5" t="s">
        <v>10</v>
      </c>
      <c r="B17" s="5" t="s">
        <v>42</v>
      </c>
      <c r="C17" s="5" t="s">
        <v>47</v>
      </c>
      <c r="D17" s="10" t="n">
        <v>15000</v>
      </c>
      <c r="E17" s="6" t="n">
        <f aca="false">SUMIFS(Tranzakciók!$E:$E,Tranzakciók!$B:$B,$A17,Tranzakciók!$C:$C,$B17,Tranzakciók!$D:$D,$C17)</f>
        <v>15000</v>
      </c>
      <c r="F17" s="6" t="n">
        <f aca="false">IF($B17="BEVÉTEL",E17-D17,D17-E17)</f>
        <v>0</v>
      </c>
    </row>
    <row r="18" customFormat="false" ht="15" hidden="false" customHeight="false" outlineLevel="0" collapsed="false">
      <c r="A18" s="5" t="s">
        <v>10</v>
      </c>
      <c r="B18" s="5" t="s">
        <v>48</v>
      </c>
      <c r="C18" s="5" t="s">
        <v>49</v>
      </c>
      <c r="D18" s="10" t="n">
        <v>8000</v>
      </c>
      <c r="E18" s="6" t="n">
        <f aca="false">SUMIFS(Tranzakciók!$E:$E,Tranzakciók!$B:$B,$A18,Tranzakciók!$C:$C,$B18,Tranzakciók!$D:$D,$C18)</f>
        <v>0</v>
      </c>
      <c r="F18" s="6" t="n">
        <f aca="false">IF($B18="BEVÉTEL",E18-D18,D18-E18)</f>
        <v>8000</v>
      </c>
    </row>
    <row r="19" customFormat="false" ht="15" hidden="false" customHeight="false" outlineLevel="0" collapsed="false">
      <c r="A19" s="5" t="s">
        <v>10</v>
      </c>
      <c r="B19" s="5" t="s">
        <v>48</v>
      </c>
      <c r="C19" s="5" t="s">
        <v>50</v>
      </c>
      <c r="D19" s="10" t="n">
        <v>16500</v>
      </c>
      <c r="E19" s="6" t="n">
        <f aca="false">SUMIFS(Tranzakciók!$E:$E,Tranzakciók!$B:$B,$A19,Tranzakciók!$C:$C,$B19,Tranzakciók!$D:$D,$C19)</f>
        <v>16500</v>
      </c>
      <c r="F19" s="6" t="n">
        <f aca="false">IF($B19="BEVÉTEL",E19-D19,D19-E19)</f>
        <v>0</v>
      </c>
    </row>
    <row r="20" customFormat="false" ht="15" hidden="false" customHeight="false" outlineLevel="0" collapsed="false">
      <c r="A20" s="5" t="s">
        <v>10</v>
      </c>
      <c r="B20" s="5" t="s">
        <v>48</v>
      </c>
      <c r="C20" s="5" t="s">
        <v>51</v>
      </c>
      <c r="D20" s="10" t="n">
        <v>0</v>
      </c>
      <c r="E20" s="6" t="n">
        <f aca="false">SUMIFS(Tranzakciók!$E:$E,Tranzakciók!$B:$B,$A20,Tranzakciók!$C:$C,$B20,Tranzakciók!$D:$D,$C20)</f>
        <v>0</v>
      </c>
      <c r="F20" s="6" t="n">
        <f aca="false">IF($B20="BEVÉTEL",E20-D20,D20-E20)</f>
        <v>0</v>
      </c>
    </row>
    <row r="21" customFormat="false" ht="15" hidden="false" customHeight="false" outlineLevel="0" collapsed="false">
      <c r="A21" s="5" t="s">
        <v>10</v>
      </c>
      <c r="B21" s="5" t="s">
        <v>48</v>
      </c>
      <c r="C21" s="5" t="s">
        <v>52</v>
      </c>
      <c r="D21" s="10" t="n">
        <v>5000</v>
      </c>
      <c r="E21" s="6" t="n">
        <f aca="false">SUMIFS(Tranzakciók!$E:$E,Tranzakciók!$B:$B,$A21,Tranzakciók!$C:$C,$B21,Tranzakciók!$D:$D,$C21)</f>
        <v>0</v>
      </c>
      <c r="F21" s="6" t="n">
        <f aca="false">IF($B21="BEVÉTEL",E21-D21,D21-E21)</f>
        <v>5000</v>
      </c>
    </row>
    <row r="22" customFormat="false" ht="15" hidden="false" customHeight="false" outlineLevel="0" collapsed="false">
      <c r="A22" s="5" t="s">
        <v>10</v>
      </c>
      <c r="B22" s="5" t="s">
        <v>53</v>
      </c>
      <c r="C22" s="5" t="s">
        <v>54</v>
      </c>
      <c r="D22" s="10" t="n">
        <v>45000</v>
      </c>
      <c r="E22" s="6" t="n">
        <f aca="false">SUMIFS(Tranzakciók!$E:$E,Tranzakciók!$B:$B,$A22,Tranzakciók!$C:$C,$B22,Tranzakciók!$D:$D,$C22)</f>
        <v>45000</v>
      </c>
      <c r="F22" s="6" t="n">
        <f aca="false">IF($B22="BEVÉTEL",E22-D22,D22-E22)</f>
        <v>0</v>
      </c>
    </row>
    <row r="23" customFormat="false" ht="15" hidden="false" customHeight="false" outlineLevel="0" collapsed="false">
      <c r="A23" s="5" t="s">
        <v>10</v>
      </c>
      <c r="B23" s="5" t="s">
        <v>53</v>
      </c>
      <c r="C23" s="5" t="s">
        <v>55</v>
      </c>
      <c r="D23" s="10" t="n">
        <v>15000</v>
      </c>
      <c r="E23" s="6" t="n">
        <f aca="false">SUMIFS(Tranzakciók!$E:$E,Tranzakciók!$B:$B,$A23,Tranzakciók!$C:$C,$B23,Tranzakciók!$D:$D,$C23)</f>
        <v>15000</v>
      </c>
      <c r="F23" s="6" t="n">
        <f aca="false">IF($B23="BEVÉTEL",E23-D23,D23-E23)</f>
        <v>0</v>
      </c>
    </row>
    <row r="24" customFormat="false" ht="15" hidden="false" customHeight="false" outlineLevel="0" collapsed="false">
      <c r="A24" s="5" t="s">
        <v>10</v>
      </c>
      <c r="B24" s="5" t="s">
        <v>53</v>
      </c>
      <c r="C24" s="5" t="s">
        <v>56</v>
      </c>
      <c r="D24" s="10" t="n">
        <v>10000</v>
      </c>
      <c r="E24" s="6" t="n">
        <f aca="false">SUMIFS(Tranzakciók!$E:$E,Tranzakciók!$B:$B,$A24,Tranzakciók!$C:$C,$B24,Tranzakciók!$D:$D,$C24)</f>
        <v>10000</v>
      </c>
      <c r="F24" s="6" t="n">
        <f aca="false">IF($B24="BEVÉTEL",E24-D24,D24-E24)</f>
        <v>0</v>
      </c>
    </row>
    <row r="25" customFormat="false" ht="15" hidden="false" customHeight="false" outlineLevel="0" collapsed="false">
      <c r="A25" s="5" t="s">
        <v>10</v>
      </c>
      <c r="B25" s="5" t="s">
        <v>53</v>
      </c>
      <c r="C25" s="5" t="s">
        <v>57</v>
      </c>
      <c r="D25" s="10" t="n">
        <v>15000</v>
      </c>
      <c r="E25" s="6" t="n">
        <f aca="false">SUMIFS(Tranzakciók!$E:$E,Tranzakciók!$B:$B,$A25,Tranzakciók!$C:$C,$B25,Tranzakciók!$D:$D,$C25)</f>
        <v>15000</v>
      </c>
      <c r="F25" s="6" t="n">
        <f aca="false">IF($B25="BEVÉTEL",E25-D25,D25-E25)</f>
        <v>0</v>
      </c>
    </row>
    <row r="26" customFormat="false" ht="15" hidden="false" customHeight="false" outlineLevel="0" collapsed="false">
      <c r="A26" s="5" t="s">
        <v>10</v>
      </c>
      <c r="B26" s="5" t="s">
        <v>53</v>
      </c>
      <c r="C26" s="5" t="s">
        <v>58</v>
      </c>
      <c r="D26" s="10" t="n">
        <v>87000</v>
      </c>
      <c r="E26" s="6" t="n">
        <f aca="false">SUMIFS(Tranzakciók!$E:$E,Tranzakciók!$B:$B,$A26,Tranzakciók!$C:$C,$B26,Tranzakciók!$D:$D,$C26)</f>
        <v>87000</v>
      </c>
      <c r="F26" s="6" t="n">
        <f aca="false">IF($B26="BEVÉTEL",E26-D26,D26-E26)</f>
        <v>0</v>
      </c>
    </row>
    <row r="27" customFormat="false" ht="15" hidden="false" customHeight="false" outlineLevel="0" collapsed="false">
      <c r="A27" s="5" t="s">
        <v>10</v>
      </c>
      <c r="B27" s="5" t="s">
        <v>53</v>
      </c>
      <c r="C27" s="5" t="s">
        <v>59</v>
      </c>
      <c r="D27" s="10" t="n">
        <v>35000</v>
      </c>
      <c r="E27" s="6" t="n">
        <f aca="false">SUMIFS(Tranzakciók!$E:$E,Tranzakciók!$B:$B,$A27,Tranzakciók!$C:$C,$B27,Tranzakciók!$D:$D,$C27)</f>
        <v>35000</v>
      </c>
      <c r="F27" s="6" t="n">
        <f aca="false">IF($B27="BEVÉTEL",E27-D27,D27-E27)</f>
        <v>0</v>
      </c>
    </row>
    <row r="28" customFormat="false" ht="15" hidden="false" customHeight="false" outlineLevel="0" collapsed="false">
      <c r="A28" s="5" t="s">
        <v>10</v>
      </c>
      <c r="B28" s="5" t="s">
        <v>60</v>
      </c>
      <c r="C28" s="5" t="s">
        <v>61</v>
      </c>
      <c r="D28" s="10" t="n">
        <v>0</v>
      </c>
      <c r="E28" s="6" t="n">
        <f aca="false">SUMIFS(Tranzakciók!$E:$E,Tranzakciók!$B:$B,$A28,Tranzakciók!$C:$C,$B28,Tranzakciók!$D:$D,$C28)</f>
        <v>0</v>
      </c>
      <c r="F28" s="6" t="n">
        <f aca="false">IF($B28="BEVÉTEL",E28-D28,D28-E28)</f>
        <v>0</v>
      </c>
    </row>
    <row r="29" customFormat="false" ht="15" hidden="false" customHeight="false" outlineLevel="0" collapsed="false">
      <c r="A29" s="5" t="s">
        <v>10</v>
      </c>
      <c r="B29" s="5" t="s">
        <v>60</v>
      </c>
      <c r="C29" s="5" t="s">
        <v>62</v>
      </c>
      <c r="D29" s="10" t="n">
        <v>2500</v>
      </c>
      <c r="E29" s="6" t="n">
        <f aca="false">SUMIFS(Tranzakciók!$E:$E,Tranzakciók!$B:$B,$A29,Tranzakciók!$C:$C,$B29,Tranzakciók!$D:$D,$C29)</f>
        <v>467</v>
      </c>
      <c r="F29" s="6" t="n">
        <f aca="false">IF($B29="BEVÉTEL",E29-D29,D29-E29)</f>
        <v>2033</v>
      </c>
    </row>
    <row r="30" customFormat="false" ht="15" hidden="false" customHeight="false" outlineLevel="0" collapsed="false">
      <c r="A30" s="5" t="s">
        <v>11</v>
      </c>
      <c r="B30" s="5" t="s">
        <v>28</v>
      </c>
      <c r="C30" s="5" t="s">
        <v>29</v>
      </c>
      <c r="D30" s="10" t="n">
        <v>497150</v>
      </c>
      <c r="E30" s="6" t="n">
        <f aca="false">SUMIFS(Tranzakciók!$E:$E,Tranzakciók!$B:$B,$A30,Tranzakciók!$C:$C,$B30,Tranzakciók!$D:$D,$C30)</f>
        <v>497150</v>
      </c>
      <c r="F30" s="6" t="n">
        <f aca="false">IF($B30="BEVÉTEL",E30-D30,D30-E30)</f>
        <v>0</v>
      </c>
    </row>
    <row r="31" customFormat="false" ht="15" hidden="false" customHeight="false" outlineLevel="0" collapsed="false">
      <c r="A31" s="5" t="s">
        <v>11</v>
      </c>
      <c r="B31" s="5" t="s">
        <v>28</v>
      </c>
      <c r="C31" s="5" t="s">
        <v>30</v>
      </c>
      <c r="D31" s="10" t="n">
        <v>25000</v>
      </c>
      <c r="E31" s="6" t="n">
        <f aca="false">SUMIFS(Tranzakciók!$E:$E,Tranzakciók!$B:$B,$A31,Tranzakciók!$C:$C,$B31,Tranzakciók!$D:$D,$C31)</f>
        <v>25000</v>
      </c>
      <c r="F31" s="6" t="n">
        <f aca="false">IF($B31="BEVÉTEL",E31-D31,D31-E31)</f>
        <v>0</v>
      </c>
    </row>
    <row r="32" customFormat="false" ht="15" hidden="false" customHeight="false" outlineLevel="0" collapsed="false">
      <c r="A32" s="5" t="s">
        <v>11</v>
      </c>
      <c r="B32" s="5" t="s">
        <v>31</v>
      </c>
      <c r="C32" s="5" t="s">
        <v>32</v>
      </c>
      <c r="D32" s="10" t="n">
        <v>90000</v>
      </c>
      <c r="E32" s="6" t="n">
        <f aca="false">SUMIFS(Tranzakciók!$E:$E,Tranzakciók!$B:$B,$A32,Tranzakciók!$C:$C,$B32,Tranzakciók!$D:$D,$C32)</f>
        <v>90000</v>
      </c>
      <c r="F32" s="6" t="n">
        <f aca="false">IF($B32="BEVÉTEL",E32-D32,D32-E32)</f>
        <v>0</v>
      </c>
    </row>
    <row r="33" customFormat="false" ht="15" hidden="false" customHeight="false" outlineLevel="0" collapsed="false">
      <c r="A33" s="5" t="s">
        <v>11</v>
      </c>
      <c r="B33" s="5" t="s">
        <v>31</v>
      </c>
      <c r="C33" s="5" t="s">
        <v>33</v>
      </c>
      <c r="D33" s="10" t="n">
        <v>18026</v>
      </c>
      <c r="E33" s="6" t="n">
        <f aca="false">SUMIFS(Tranzakciók!$E:$E,Tranzakciók!$B:$B,$A33,Tranzakciók!$C:$C,$B33,Tranzakciók!$D:$D,$C33)</f>
        <v>18026</v>
      </c>
      <c r="F33" s="6" t="n">
        <f aca="false">IF($B33="BEVÉTEL",E33-D33,D33-E33)</f>
        <v>0</v>
      </c>
    </row>
    <row r="34" customFormat="false" ht="15" hidden="false" customHeight="false" outlineLevel="0" collapsed="false">
      <c r="A34" s="5" t="s">
        <v>11</v>
      </c>
      <c r="B34" s="5" t="s">
        <v>31</v>
      </c>
      <c r="C34" s="5" t="s">
        <v>34</v>
      </c>
      <c r="D34" s="10" t="n">
        <v>14385</v>
      </c>
      <c r="E34" s="6" t="n">
        <f aca="false">SUMIFS(Tranzakciók!$E:$E,Tranzakciók!$B:$B,$A34,Tranzakciók!$C:$C,$B34,Tranzakciók!$D:$D,$C34)</f>
        <v>14385</v>
      </c>
      <c r="F34" s="6" t="n">
        <f aca="false">IF($B34="BEVÉTEL",E34-D34,D34-E34)</f>
        <v>0</v>
      </c>
    </row>
    <row r="35" customFormat="false" ht="15" hidden="false" customHeight="false" outlineLevel="0" collapsed="false">
      <c r="A35" s="5" t="s">
        <v>11</v>
      </c>
      <c r="B35" s="5" t="s">
        <v>31</v>
      </c>
      <c r="C35" s="5" t="s">
        <v>63</v>
      </c>
      <c r="D35" s="10" t="n">
        <v>4790</v>
      </c>
      <c r="E35" s="6" t="n">
        <f aca="false">SUMIFS(Tranzakciók!$E:$E,Tranzakciók!$B:$B,$A35,Tranzakciók!$C:$C,$B35,Tranzakciók!$D:$D,$C35)</f>
        <v>4790</v>
      </c>
      <c r="F35" s="6" t="n">
        <f aca="false">IF($B35="BEVÉTEL",E35-D35,D35-E35)</f>
        <v>0</v>
      </c>
    </row>
    <row r="36" customFormat="false" ht="15" hidden="false" customHeight="false" outlineLevel="0" collapsed="false">
      <c r="A36" s="5" t="s">
        <v>11</v>
      </c>
      <c r="B36" s="5" t="s">
        <v>31</v>
      </c>
      <c r="C36" s="5" t="s">
        <v>36</v>
      </c>
      <c r="D36" s="10" t="n">
        <v>1990</v>
      </c>
      <c r="E36" s="6" t="n">
        <f aca="false">SUMIFS(Tranzakciók!$E:$E,Tranzakciók!$B:$B,$A36,Tranzakciók!$C:$C,$B36,Tranzakciók!$D:$D,$C36)</f>
        <v>1990</v>
      </c>
      <c r="F36" s="6" t="n">
        <f aca="false">IF($B36="BEVÉTEL",E36-D36,D36-E36)</f>
        <v>0</v>
      </c>
    </row>
    <row r="37" customFormat="false" ht="15" hidden="false" customHeight="false" outlineLevel="0" collapsed="false">
      <c r="A37" s="5" t="s">
        <v>11</v>
      </c>
      <c r="B37" s="5" t="s">
        <v>31</v>
      </c>
      <c r="C37" s="5" t="s">
        <v>37</v>
      </c>
      <c r="D37" s="10" t="n">
        <v>3990</v>
      </c>
      <c r="E37" s="6" t="n">
        <f aca="false">SUMIFS(Tranzakciók!$E:$E,Tranzakciók!$B:$B,$A37,Tranzakciók!$C:$C,$B37,Tranzakciók!$D:$D,$C37)</f>
        <v>3990</v>
      </c>
      <c r="F37" s="6" t="n">
        <f aca="false">IF($B37="BEVÉTEL",E37-D37,D37-E37)</f>
        <v>0</v>
      </c>
    </row>
    <row r="38" customFormat="false" ht="15" hidden="false" customHeight="false" outlineLevel="0" collapsed="false">
      <c r="A38" s="5" t="s">
        <v>11</v>
      </c>
      <c r="B38" s="5" t="s">
        <v>39</v>
      </c>
      <c r="C38" s="5" t="s">
        <v>40</v>
      </c>
      <c r="D38" s="10" t="n">
        <v>8950</v>
      </c>
      <c r="E38" s="6" t="n">
        <f aca="false">SUMIFS(Tranzakciók!$E:$E,Tranzakciók!$B:$B,$A38,Tranzakciók!$C:$C,$B38,Tranzakciók!$D:$D,$C38)</f>
        <v>8950</v>
      </c>
      <c r="F38" s="6" t="n">
        <f aca="false">IF($B38="BEVÉTEL",E38-D38,D38-E38)</f>
        <v>0</v>
      </c>
    </row>
    <row r="39" customFormat="false" ht="15" hidden="false" customHeight="false" outlineLevel="0" collapsed="false">
      <c r="A39" s="5" t="s">
        <v>11</v>
      </c>
      <c r="B39" s="5" t="s">
        <v>39</v>
      </c>
      <c r="C39" s="5" t="s">
        <v>41</v>
      </c>
      <c r="D39" s="10" t="n">
        <v>5000</v>
      </c>
      <c r="E39" s="6" t="n">
        <f aca="false">SUMIFS(Tranzakciók!$E:$E,Tranzakciók!$B:$B,$A39,Tranzakciók!$C:$C,$B39,Tranzakciók!$D:$D,$C39)</f>
        <v>0</v>
      </c>
      <c r="F39" s="6" t="n">
        <f aca="false">IF($B39="BEVÉTEL",E39-D39,D39-E39)</f>
        <v>5000</v>
      </c>
    </row>
    <row r="40" customFormat="false" ht="15" hidden="false" customHeight="false" outlineLevel="0" collapsed="false">
      <c r="A40" s="5" t="s">
        <v>11</v>
      </c>
      <c r="B40" s="5" t="s">
        <v>42</v>
      </c>
      <c r="C40" s="5" t="s">
        <v>43</v>
      </c>
      <c r="D40" s="10" t="n">
        <v>55000</v>
      </c>
      <c r="E40" s="6" t="n">
        <f aca="false">SUMIFS(Tranzakciók!$E:$E,Tranzakciók!$B:$B,$A40,Tranzakciók!$C:$C,$B40,Tranzakciók!$D:$D,$C40)</f>
        <v>4406</v>
      </c>
      <c r="F40" s="6" t="n">
        <f aca="false">IF($B40="BEVÉTEL",E40-D40,D40-E40)</f>
        <v>50594</v>
      </c>
    </row>
    <row r="41" customFormat="false" ht="15" hidden="false" customHeight="false" outlineLevel="0" collapsed="false">
      <c r="A41" s="5" t="s">
        <v>11</v>
      </c>
      <c r="B41" s="5" t="s">
        <v>42</v>
      </c>
      <c r="C41" s="5" t="s">
        <v>44</v>
      </c>
      <c r="D41" s="10" t="n">
        <v>2500</v>
      </c>
      <c r="E41" s="6" t="n">
        <f aca="false">SUMIFS(Tranzakciók!$E:$E,Tranzakciók!$B:$B,$A41,Tranzakciók!$C:$C,$B41,Tranzakciók!$D:$D,$C41)</f>
        <v>0</v>
      </c>
      <c r="F41" s="6" t="n">
        <f aca="false">IF($B41="BEVÉTEL",E41-D41,D41-E41)</f>
        <v>2500</v>
      </c>
    </row>
    <row r="42" customFormat="false" ht="15" hidden="false" customHeight="false" outlineLevel="0" collapsed="false">
      <c r="A42" s="5" t="s">
        <v>11</v>
      </c>
      <c r="B42" s="5" t="s">
        <v>42</v>
      </c>
      <c r="C42" s="5" t="s">
        <v>45</v>
      </c>
      <c r="D42" s="10" t="n">
        <v>1500</v>
      </c>
      <c r="E42" s="6" t="n">
        <f aca="false">SUMIFS(Tranzakciók!$E:$E,Tranzakciók!$B:$B,$A42,Tranzakciók!$C:$C,$B42,Tranzakciók!$D:$D,$C42)</f>
        <v>0</v>
      </c>
      <c r="F42" s="6" t="n">
        <f aca="false">IF($B42="BEVÉTEL",E42-D42,D42-E42)</f>
        <v>1500</v>
      </c>
    </row>
    <row r="43" customFormat="false" ht="15" hidden="false" customHeight="false" outlineLevel="0" collapsed="false">
      <c r="A43" s="5" t="s">
        <v>11</v>
      </c>
      <c r="B43" s="5" t="s">
        <v>42</v>
      </c>
      <c r="C43" s="5" t="s">
        <v>46</v>
      </c>
      <c r="D43" s="10" t="n">
        <v>15000</v>
      </c>
      <c r="E43" s="6" t="n">
        <f aca="false">SUMIFS(Tranzakciók!$E:$E,Tranzakciók!$B:$B,$A43,Tranzakciók!$C:$C,$B43,Tranzakciók!$D:$D,$C43)</f>
        <v>10479</v>
      </c>
      <c r="F43" s="6" t="n">
        <f aca="false">IF($B43="BEVÉTEL",E43-D43,D43-E43)</f>
        <v>4521</v>
      </c>
    </row>
    <row r="44" customFormat="false" ht="15" hidden="false" customHeight="false" outlineLevel="0" collapsed="false">
      <c r="A44" s="5" t="s">
        <v>11</v>
      </c>
      <c r="B44" s="5" t="s">
        <v>42</v>
      </c>
      <c r="C44" s="5" t="s">
        <v>47</v>
      </c>
      <c r="D44" s="10" t="n">
        <v>0</v>
      </c>
      <c r="E44" s="6" t="n">
        <f aca="false">SUMIFS(Tranzakciók!$E:$E,Tranzakciók!$B:$B,$A44,Tranzakciók!$C:$C,$B44,Tranzakciók!$D:$D,$C44)</f>
        <v>0</v>
      </c>
      <c r="F44" s="6" t="n">
        <f aca="false">IF($B44="BEVÉTEL",E44-D44,D44-E44)</f>
        <v>0</v>
      </c>
    </row>
    <row r="45" customFormat="false" ht="15" hidden="false" customHeight="false" outlineLevel="0" collapsed="false">
      <c r="A45" s="5" t="s">
        <v>11</v>
      </c>
      <c r="B45" s="5" t="s">
        <v>48</v>
      </c>
      <c r="C45" s="5" t="s">
        <v>49</v>
      </c>
      <c r="D45" s="10" t="n">
        <v>12600</v>
      </c>
      <c r="E45" s="6" t="n">
        <f aca="false">SUMIFS(Tranzakciók!$E:$E,Tranzakciók!$B:$B,$A45,Tranzakciók!$C:$C,$B45,Tranzakciók!$D:$D,$C45)</f>
        <v>0</v>
      </c>
      <c r="F45" s="6" t="n">
        <f aca="false">IF($B45="BEVÉTEL",E45-D45,D45-E45)</f>
        <v>12600</v>
      </c>
    </row>
    <row r="46" customFormat="false" ht="15" hidden="false" customHeight="false" outlineLevel="0" collapsed="false">
      <c r="A46" s="5" t="s">
        <v>11</v>
      </c>
      <c r="B46" s="5" t="s">
        <v>48</v>
      </c>
      <c r="C46" s="5" t="s">
        <v>50</v>
      </c>
      <c r="D46" s="10" t="n">
        <v>22000</v>
      </c>
      <c r="E46" s="6" t="n">
        <f aca="false">SUMIFS(Tranzakciók!$E:$E,Tranzakciók!$B:$B,$A46,Tranzakciók!$C:$C,$B46,Tranzakciók!$D:$D,$C46)</f>
        <v>22000</v>
      </c>
      <c r="F46" s="6" t="n">
        <f aca="false">IF($B46="BEVÉTEL",E46-D46,D46-E46)</f>
        <v>0</v>
      </c>
    </row>
    <row r="47" customFormat="false" ht="15" hidden="false" customHeight="false" outlineLevel="0" collapsed="false">
      <c r="A47" s="5" t="s">
        <v>11</v>
      </c>
      <c r="B47" s="5" t="s">
        <v>48</v>
      </c>
      <c r="C47" s="5" t="s">
        <v>51</v>
      </c>
      <c r="D47" s="10" t="n">
        <v>0</v>
      </c>
      <c r="E47" s="6" t="n">
        <f aca="false">SUMIFS(Tranzakciók!$E:$E,Tranzakciók!$B:$B,$A47,Tranzakciók!$C:$C,$B47,Tranzakciók!$D:$D,$C47)</f>
        <v>0</v>
      </c>
      <c r="F47" s="6" t="n">
        <f aca="false">IF($B47="BEVÉTEL",E47-D47,D47-E47)</f>
        <v>0</v>
      </c>
    </row>
    <row r="48" customFormat="false" ht="15" hidden="false" customHeight="false" outlineLevel="0" collapsed="false">
      <c r="A48" s="5" t="s">
        <v>11</v>
      </c>
      <c r="B48" s="5" t="s">
        <v>48</v>
      </c>
      <c r="C48" s="5" t="s">
        <v>52</v>
      </c>
      <c r="D48" s="10" t="n">
        <v>8800</v>
      </c>
      <c r="E48" s="6" t="n">
        <f aca="false">SUMIFS(Tranzakciók!$E:$E,Tranzakciók!$B:$B,$A48,Tranzakciók!$C:$C,$B48,Tranzakciók!$D:$D,$C48)</f>
        <v>0</v>
      </c>
      <c r="F48" s="6" t="n">
        <f aca="false">IF($B48="BEVÉTEL",E48-D48,D48-E48)</f>
        <v>8800</v>
      </c>
    </row>
    <row r="49" customFormat="false" ht="15" hidden="false" customHeight="false" outlineLevel="0" collapsed="false">
      <c r="A49" s="5" t="s">
        <v>11</v>
      </c>
      <c r="B49" s="5" t="s">
        <v>53</v>
      </c>
      <c r="C49" s="5" t="s">
        <v>64</v>
      </c>
      <c r="D49" s="10" t="n">
        <v>0</v>
      </c>
      <c r="E49" s="6" t="n">
        <f aca="false">SUMIFS(Tranzakciók!$E:$E,Tranzakciók!$B:$B,$A49,Tranzakciók!$C:$C,$B49,Tranzakciók!$D:$D,$C49)</f>
        <v>0</v>
      </c>
      <c r="F49" s="6" t="n">
        <f aca="false">IF($B49="BEVÉTEL",E49-D49,D49-E49)</f>
        <v>0</v>
      </c>
    </row>
    <row r="50" customFormat="false" ht="15" hidden="false" customHeight="false" outlineLevel="0" collapsed="false">
      <c r="A50" s="5" t="s">
        <v>11</v>
      </c>
      <c r="B50" s="5" t="s">
        <v>53</v>
      </c>
      <c r="C50" s="5" t="s">
        <v>65</v>
      </c>
      <c r="D50" s="10" t="n">
        <v>22272</v>
      </c>
      <c r="E50" s="6" t="n">
        <f aca="false">SUMIFS(Tranzakciók!$E:$E,Tranzakciók!$B:$B,$A50,Tranzakciók!$C:$C,$B50,Tranzakciók!$D:$D,$C50)</f>
        <v>22272</v>
      </c>
      <c r="F50" s="6" t="n">
        <f aca="false">IF($B50="BEVÉTEL",E50-D50,D50-E50)</f>
        <v>0</v>
      </c>
    </row>
    <row r="51" customFormat="false" ht="15" hidden="false" customHeight="false" outlineLevel="0" collapsed="false">
      <c r="A51" s="5" t="s">
        <v>11</v>
      </c>
      <c r="B51" s="5" t="s">
        <v>53</v>
      </c>
      <c r="C51" s="5" t="s">
        <v>66</v>
      </c>
      <c r="D51" s="10" t="n">
        <v>52000</v>
      </c>
      <c r="E51" s="6" t="n">
        <f aca="false">SUMIFS(Tranzakciók!$E:$E,Tranzakciók!$B:$B,$A51,Tranzakciók!$C:$C,$B51,Tranzakciók!$D:$D,$C51)</f>
        <v>52000</v>
      </c>
      <c r="F51" s="6" t="n">
        <f aca="false">IF($B51="BEVÉTEL",E51-D51,D51-E51)</f>
        <v>0</v>
      </c>
    </row>
    <row r="52" customFormat="false" ht="15" hidden="false" customHeight="false" outlineLevel="0" collapsed="false">
      <c r="A52" s="5" t="s">
        <v>11</v>
      </c>
      <c r="B52" s="5" t="s">
        <v>53</v>
      </c>
      <c r="C52" s="5" t="s">
        <v>67</v>
      </c>
      <c r="D52" s="10" t="n">
        <v>40466</v>
      </c>
      <c r="E52" s="6" t="n">
        <f aca="false">SUMIFS(Tranzakciók!$E:$E,Tranzakciók!$B:$B,$A52,Tranzakciók!$C:$C,$B52,Tranzakciók!$D:$D,$C52)</f>
        <v>40466</v>
      </c>
      <c r="F52" s="6" t="n">
        <f aca="false">IF($B52="BEVÉTEL",E52-D52,D52-E52)</f>
        <v>0</v>
      </c>
    </row>
    <row r="53" customFormat="false" ht="15" hidden="false" customHeight="false" outlineLevel="0" collapsed="false">
      <c r="A53" s="5" t="s">
        <v>11</v>
      </c>
      <c r="B53" s="5" t="s">
        <v>53</v>
      </c>
      <c r="C53" s="5" t="s">
        <v>68</v>
      </c>
      <c r="D53" s="10" t="n">
        <v>40000</v>
      </c>
      <c r="E53" s="6" t="n">
        <f aca="false">SUMIFS(Tranzakciók!$E:$E,Tranzakciók!$B:$B,$A53,Tranzakciók!$C:$C,$B53,Tranzakciók!$D:$D,$C53)</f>
        <v>40000</v>
      </c>
      <c r="F53" s="6" t="n">
        <f aca="false">IF($B53="BEVÉTEL",E53-D53,D53-E53)</f>
        <v>0</v>
      </c>
    </row>
    <row r="54" customFormat="false" ht="15" hidden="false" customHeight="false" outlineLevel="0" collapsed="false">
      <c r="A54" s="5" t="s">
        <v>11</v>
      </c>
      <c r="B54" s="5" t="s">
        <v>60</v>
      </c>
      <c r="C54" s="5" t="s">
        <v>61</v>
      </c>
      <c r="D54" s="10" t="n">
        <v>80000</v>
      </c>
      <c r="E54" s="6" t="n">
        <f aca="false">SUMIFS(Tranzakciók!$E:$E,Tranzakciók!$B:$B,$A54,Tranzakciók!$C:$C,$B54,Tranzakciók!$D:$D,$C54)</f>
        <v>80000</v>
      </c>
      <c r="F54" s="6" t="n">
        <f aca="false">IF($B54="BEVÉTEL",E54-D54,D54-E54)</f>
        <v>0</v>
      </c>
    </row>
    <row r="55" customFormat="false" ht="15" hidden="false" customHeight="false" outlineLevel="0" collapsed="false">
      <c r="A55" s="5" t="s">
        <v>11</v>
      </c>
      <c r="B55" s="5" t="s">
        <v>60</v>
      </c>
      <c r="C55" s="5" t="s">
        <v>62</v>
      </c>
      <c r="D55" s="10" t="n">
        <v>2500</v>
      </c>
      <c r="E55" s="6" t="n">
        <f aca="false">SUMIFS(Tranzakciók!$E:$E,Tranzakciók!$B:$B,$A55,Tranzakciók!$C:$C,$B55,Tranzakciók!$D:$D,$C55)</f>
        <v>0</v>
      </c>
      <c r="F55" s="6" t="n">
        <f aca="false">IF($B55="BEVÉTEL",E55-D55,D55-E55)</f>
        <v>2500</v>
      </c>
    </row>
    <row r="56" customFormat="false" ht="15" hidden="false" customHeight="false" outlineLevel="0" collapsed="false">
      <c r="A56" s="5" t="s">
        <v>12</v>
      </c>
      <c r="B56" s="5" t="s">
        <v>28</v>
      </c>
      <c r="C56" s="5" t="s">
        <v>29</v>
      </c>
      <c r="D56" s="10" t="n">
        <v>497150</v>
      </c>
      <c r="E56" s="6" t="n">
        <f aca="false">SUMIFS(Tranzakciók!$E:$E,Tranzakciók!$B:$B,$A56,Tranzakciók!$C:$C,$B56,Tranzakciók!$D:$D,$C56)</f>
        <v>497150</v>
      </c>
      <c r="F56" s="6" t="n">
        <f aca="false">IF($B56="BEVÉTEL",E56-D56,D56-E56)</f>
        <v>0</v>
      </c>
    </row>
    <row r="57" customFormat="false" ht="15" hidden="false" customHeight="false" outlineLevel="0" collapsed="false">
      <c r="A57" s="5" t="s">
        <v>12</v>
      </c>
      <c r="B57" s="5" t="s">
        <v>28</v>
      </c>
      <c r="C57" s="5" t="s">
        <v>30</v>
      </c>
      <c r="D57" s="10" t="n">
        <v>84476</v>
      </c>
      <c r="E57" s="6" t="n">
        <f aca="false">SUMIFS(Tranzakciók!$E:$E,Tranzakciók!$B:$B,$A57,Tranzakciók!$C:$C,$B57,Tranzakciók!$D:$D,$C57)</f>
        <v>44010</v>
      </c>
      <c r="F57" s="6" t="n">
        <f aca="false">IF($B57="BEVÉTEL",E57-D57,D57-E57)</f>
        <v>-40466</v>
      </c>
    </row>
    <row r="58" customFormat="false" ht="15" hidden="false" customHeight="false" outlineLevel="0" collapsed="false">
      <c r="A58" s="5" t="s">
        <v>12</v>
      </c>
      <c r="B58" s="5" t="s">
        <v>31</v>
      </c>
      <c r="C58" s="5" t="s">
        <v>32</v>
      </c>
      <c r="D58" s="10" t="n">
        <v>90000</v>
      </c>
      <c r="E58" s="6" t="n">
        <f aca="false">SUMIFS(Tranzakciók!$E:$E,Tranzakciók!$B:$B,$A58,Tranzakciók!$C:$C,$B58,Tranzakciók!$D:$D,$C58)</f>
        <v>90000</v>
      </c>
      <c r="F58" s="6" t="n">
        <f aca="false">IF($B58="BEVÉTEL",E58-D58,D58-E58)</f>
        <v>0</v>
      </c>
    </row>
    <row r="59" customFormat="false" ht="15" hidden="false" customHeight="false" outlineLevel="0" collapsed="false">
      <c r="A59" s="5" t="s">
        <v>12</v>
      </c>
      <c r="B59" s="5" t="s">
        <v>31</v>
      </c>
      <c r="C59" s="5" t="s">
        <v>33</v>
      </c>
      <c r="D59" s="10" t="n">
        <v>18000</v>
      </c>
      <c r="E59" s="6" t="n">
        <f aca="false">SUMIFS(Tranzakciók!$E:$E,Tranzakciók!$B:$B,$A59,Tranzakciók!$C:$C,$B59,Tranzakciók!$D:$D,$C59)</f>
        <v>16860</v>
      </c>
      <c r="F59" s="6" t="n">
        <f aca="false">IF($B59="BEVÉTEL",E59-D59,D59-E59)</f>
        <v>1140</v>
      </c>
    </row>
    <row r="60" customFormat="false" ht="15" hidden="false" customHeight="false" outlineLevel="0" collapsed="false">
      <c r="A60" s="5" t="s">
        <v>12</v>
      </c>
      <c r="B60" s="5" t="s">
        <v>31</v>
      </c>
      <c r="C60" s="5" t="s">
        <v>34</v>
      </c>
      <c r="D60" s="10" t="n">
        <v>14405</v>
      </c>
      <c r="E60" s="6" t="n">
        <f aca="false">SUMIFS(Tranzakciók!$E:$E,Tranzakciók!$B:$B,$A60,Tranzakciók!$C:$C,$B60,Tranzakciók!$D:$D,$C60)</f>
        <v>14405</v>
      </c>
      <c r="F60" s="6" t="n">
        <f aca="false">IF($B60="BEVÉTEL",E60-D60,D60-E60)</f>
        <v>0</v>
      </c>
    </row>
    <row r="61" customFormat="false" ht="15" hidden="false" customHeight="false" outlineLevel="0" collapsed="false">
      <c r="A61" s="5" t="s">
        <v>12</v>
      </c>
      <c r="B61" s="5" t="s">
        <v>31</v>
      </c>
      <c r="C61" s="5" t="s">
        <v>63</v>
      </c>
      <c r="D61" s="10" t="n">
        <v>4790</v>
      </c>
      <c r="E61" s="6" t="n">
        <f aca="false">SUMIFS(Tranzakciók!$E:$E,Tranzakciók!$B:$B,$A61,Tranzakciók!$C:$C,$B61,Tranzakciók!$D:$D,$C61)</f>
        <v>4790</v>
      </c>
      <c r="F61" s="6" t="n">
        <f aca="false">IF($B61="BEVÉTEL",E61-D61,D61-E61)</f>
        <v>0</v>
      </c>
    </row>
    <row r="62" customFormat="false" ht="15" hidden="false" customHeight="false" outlineLevel="0" collapsed="false">
      <c r="A62" s="5" t="s">
        <v>12</v>
      </c>
      <c r="B62" s="5" t="s">
        <v>31</v>
      </c>
      <c r="C62" s="5" t="s">
        <v>36</v>
      </c>
      <c r="D62" s="10" t="n">
        <v>2790</v>
      </c>
      <c r="E62" s="6" t="n">
        <f aca="false">SUMIFS(Tranzakciók!$E:$E,Tranzakciók!$B:$B,$A62,Tranzakciók!$C:$C,$B62,Tranzakciók!$D:$D,$C62)</f>
        <v>2790</v>
      </c>
      <c r="F62" s="6" t="n">
        <f aca="false">IF($B62="BEVÉTEL",E62-D62,D62-E62)</f>
        <v>0</v>
      </c>
    </row>
    <row r="63" customFormat="false" ht="15" hidden="false" customHeight="false" outlineLevel="0" collapsed="false">
      <c r="A63" s="5" t="s">
        <v>12</v>
      </c>
      <c r="B63" s="5" t="s">
        <v>31</v>
      </c>
      <c r="C63" s="5" t="s">
        <v>37</v>
      </c>
      <c r="D63" s="10" t="n">
        <v>3990</v>
      </c>
      <c r="E63" s="6" t="n">
        <f aca="false">SUMIFS(Tranzakciók!$E:$E,Tranzakciók!$B:$B,$A63,Tranzakciók!$C:$C,$B63,Tranzakciók!$D:$D,$C63)</f>
        <v>3990</v>
      </c>
      <c r="F63" s="6" t="n">
        <f aca="false">IF($B63="BEVÉTEL",E63-D63,D63-E63)</f>
        <v>0</v>
      </c>
    </row>
    <row r="64" customFormat="false" ht="15" hidden="false" customHeight="false" outlineLevel="0" collapsed="false">
      <c r="A64" s="5" t="s">
        <v>12</v>
      </c>
      <c r="B64" s="5" t="s">
        <v>39</v>
      </c>
      <c r="C64" s="5" t="s">
        <v>69</v>
      </c>
      <c r="D64" s="10" t="n">
        <v>18731</v>
      </c>
      <c r="E64" s="6" t="n">
        <f aca="false">SUMIFS(Tranzakciók!$E:$E,Tranzakciók!$B:$B,$A64,Tranzakciók!$C:$C,$B64,Tranzakciók!$D:$D,$C64)</f>
        <v>18731</v>
      </c>
      <c r="F64" s="6" t="n">
        <f aca="false">IF($B64="BEVÉTEL",E64-D64,D64-E64)</f>
        <v>0</v>
      </c>
    </row>
    <row r="65" customFormat="false" ht="15" hidden="false" customHeight="false" outlineLevel="0" collapsed="false">
      <c r="A65" s="5" t="s">
        <v>12</v>
      </c>
      <c r="B65" s="5" t="s">
        <v>39</v>
      </c>
      <c r="C65" s="5" t="s">
        <v>41</v>
      </c>
      <c r="D65" s="10" t="n">
        <v>10000</v>
      </c>
      <c r="E65" s="6" t="n">
        <f aca="false">SUMIFS(Tranzakciók!$E:$E,Tranzakciók!$B:$B,$A65,Tranzakciók!$C:$C,$B65,Tranzakciók!$D:$D,$C65)</f>
        <v>10000</v>
      </c>
      <c r="F65" s="6" t="n">
        <f aca="false">IF($B65="BEVÉTEL",E65-D65,D65-E65)</f>
        <v>0</v>
      </c>
    </row>
    <row r="66" customFormat="false" ht="15" hidden="false" customHeight="false" outlineLevel="0" collapsed="false">
      <c r="A66" s="5" t="s">
        <v>12</v>
      </c>
      <c r="B66" s="5" t="s">
        <v>42</v>
      </c>
      <c r="C66" s="5" t="s">
        <v>43</v>
      </c>
      <c r="D66" s="10" t="n">
        <v>80000</v>
      </c>
      <c r="E66" s="6" t="n">
        <f aca="false">SUMIFS(Tranzakciók!$E:$E,Tranzakciók!$B:$B,$A66,Tranzakciók!$C:$C,$B66,Tranzakciók!$D:$D,$C66)</f>
        <v>95684</v>
      </c>
      <c r="F66" s="6" t="n">
        <f aca="false">IF($B66="BEVÉTEL",E66-D66,D66-E66)</f>
        <v>-15684</v>
      </c>
    </row>
    <row r="67" customFormat="false" ht="15" hidden="false" customHeight="false" outlineLevel="0" collapsed="false">
      <c r="A67" s="5" t="s">
        <v>12</v>
      </c>
      <c r="B67" s="5" t="s">
        <v>42</v>
      </c>
      <c r="C67" s="5" t="s">
        <v>44</v>
      </c>
      <c r="D67" s="10" t="n">
        <v>2500</v>
      </c>
      <c r="E67" s="6" t="n">
        <f aca="false">SUMIFS(Tranzakciók!$E:$E,Tranzakciók!$B:$B,$A67,Tranzakciók!$C:$C,$B67,Tranzakciók!$D:$D,$C67)</f>
        <v>0</v>
      </c>
      <c r="F67" s="6" t="n">
        <f aca="false">IF($B67="BEVÉTEL",E67-D67,D67-E67)</f>
        <v>2500</v>
      </c>
    </row>
    <row r="68" customFormat="false" ht="15" hidden="false" customHeight="false" outlineLevel="0" collapsed="false">
      <c r="A68" s="5" t="s">
        <v>12</v>
      </c>
      <c r="B68" s="5" t="s">
        <v>42</v>
      </c>
      <c r="C68" s="5" t="s">
        <v>45</v>
      </c>
      <c r="D68" s="10" t="n">
        <v>1500</v>
      </c>
      <c r="E68" s="6" t="n">
        <f aca="false">SUMIFS(Tranzakciók!$E:$E,Tranzakciók!$B:$B,$A68,Tranzakciók!$C:$C,$B68,Tranzakciók!$D:$D,$C68)</f>
        <v>0</v>
      </c>
      <c r="F68" s="6" t="n">
        <f aca="false">IF($B68="BEVÉTEL",E68-D68,D68-E68)</f>
        <v>1500</v>
      </c>
    </row>
    <row r="69" customFormat="false" ht="15" hidden="false" customHeight="false" outlineLevel="0" collapsed="false">
      <c r="A69" s="5" t="s">
        <v>12</v>
      </c>
      <c r="B69" s="5" t="s">
        <v>42</v>
      </c>
      <c r="C69" s="5" t="s">
        <v>46</v>
      </c>
      <c r="D69" s="10" t="n">
        <v>0</v>
      </c>
      <c r="E69" s="6" t="n">
        <f aca="false">SUMIFS(Tranzakciók!$E:$E,Tranzakciók!$B:$B,$A69,Tranzakciók!$C:$C,$B69,Tranzakciók!$D:$D,$C69)</f>
        <v>0</v>
      </c>
      <c r="F69" s="6" t="n">
        <f aca="false">IF($B69="BEVÉTEL",E69-D69,D69-E69)</f>
        <v>0</v>
      </c>
    </row>
    <row r="70" customFormat="false" ht="15" hidden="false" customHeight="false" outlineLevel="0" collapsed="false">
      <c r="A70" s="5" t="s">
        <v>12</v>
      </c>
      <c r="B70" s="5" t="s">
        <v>42</v>
      </c>
      <c r="C70" s="5" t="s">
        <v>47</v>
      </c>
      <c r="D70" s="10" t="n">
        <v>15000</v>
      </c>
      <c r="E70" s="6" t="n">
        <f aca="false">SUMIFS(Tranzakciók!$E:$E,Tranzakciók!$B:$B,$A70,Tranzakciók!$C:$C,$B70,Tranzakciók!$D:$D,$C70)</f>
        <v>14500</v>
      </c>
      <c r="F70" s="6" t="n">
        <f aca="false">IF($B70="BEVÉTEL",E70-D70,D70-E70)</f>
        <v>500</v>
      </c>
    </row>
    <row r="71" customFormat="false" ht="15" hidden="false" customHeight="false" outlineLevel="0" collapsed="false">
      <c r="A71" s="5" t="s">
        <v>12</v>
      </c>
      <c r="B71" s="5" t="s">
        <v>48</v>
      </c>
      <c r="C71" s="5" t="s">
        <v>49</v>
      </c>
      <c r="D71" s="10" t="n">
        <v>8800</v>
      </c>
      <c r="E71" s="6" t="n">
        <f aca="false">SUMIFS(Tranzakciók!$E:$E,Tranzakciók!$B:$B,$A71,Tranzakciók!$C:$C,$B71,Tranzakciók!$D:$D,$C71)</f>
        <v>4400</v>
      </c>
      <c r="F71" s="6" t="n">
        <f aca="false">IF($B71="BEVÉTEL",E71-D71,D71-E71)</f>
        <v>4400</v>
      </c>
    </row>
    <row r="72" customFormat="false" ht="15" hidden="false" customHeight="false" outlineLevel="0" collapsed="false">
      <c r="A72" s="5" t="s">
        <v>12</v>
      </c>
      <c r="B72" s="5" t="s">
        <v>48</v>
      </c>
      <c r="C72" s="5" t="s">
        <v>50</v>
      </c>
      <c r="D72" s="10" t="n">
        <v>24000</v>
      </c>
      <c r="E72" s="6" t="n">
        <f aca="false">SUMIFS(Tranzakciók!$E:$E,Tranzakciók!$B:$B,$A72,Tranzakciók!$C:$C,$B72,Tranzakciók!$D:$D,$C72)</f>
        <v>24000</v>
      </c>
      <c r="F72" s="6" t="n">
        <f aca="false">IF($B72="BEVÉTEL",E72-D72,D72-E72)</f>
        <v>0</v>
      </c>
    </row>
    <row r="73" customFormat="false" ht="15" hidden="false" customHeight="false" outlineLevel="0" collapsed="false">
      <c r="A73" s="5" t="s">
        <v>12</v>
      </c>
      <c r="B73" s="5" t="s">
        <v>48</v>
      </c>
      <c r="C73" s="5" t="s">
        <v>51</v>
      </c>
      <c r="D73" s="10" t="n">
        <v>0</v>
      </c>
      <c r="E73" s="6" t="n">
        <f aca="false">SUMIFS(Tranzakciók!$E:$E,Tranzakciók!$B:$B,$A73,Tranzakciók!$C:$C,$B73,Tranzakciók!$D:$D,$C73)</f>
        <v>0</v>
      </c>
      <c r="F73" s="6" t="n">
        <f aca="false">IF($B73="BEVÉTEL",E73-D73,D73-E73)</f>
        <v>0</v>
      </c>
    </row>
    <row r="74" customFormat="false" ht="15" hidden="false" customHeight="false" outlineLevel="0" collapsed="false">
      <c r="A74" s="5" t="s">
        <v>12</v>
      </c>
      <c r="B74" s="5" t="s">
        <v>48</v>
      </c>
      <c r="C74" s="5" t="s">
        <v>52</v>
      </c>
      <c r="D74" s="10" t="n">
        <v>16800</v>
      </c>
      <c r="E74" s="6" t="n">
        <f aca="false">SUMIFS(Tranzakciók!$E:$E,Tranzakciók!$B:$B,$A74,Tranzakciók!$C:$C,$B74,Tranzakciók!$D:$D,$C74)</f>
        <v>2000</v>
      </c>
      <c r="F74" s="6" t="n">
        <f aca="false">IF($B74="BEVÉTEL",E74-D74,D74-E74)</f>
        <v>14800</v>
      </c>
    </row>
    <row r="75" customFormat="false" ht="15" hidden="false" customHeight="false" outlineLevel="0" collapsed="false">
      <c r="A75" s="5" t="s">
        <v>12</v>
      </c>
      <c r="B75" s="5" t="s">
        <v>53</v>
      </c>
      <c r="C75" s="5" t="s">
        <v>70</v>
      </c>
      <c r="D75" s="10" t="n">
        <v>46803</v>
      </c>
      <c r="E75" s="6" t="n">
        <f aca="false">SUMIFS(Tranzakciók!$E:$E,Tranzakciók!$B:$B,$A75,Tranzakciók!$C:$C,$B75,Tranzakciók!$D:$D,$C75)</f>
        <v>46803</v>
      </c>
      <c r="F75" s="6" t="n">
        <f aca="false">IF($B75="BEVÉTEL",E75-D75,D75-E75)</f>
        <v>0</v>
      </c>
    </row>
    <row r="76" customFormat="false" ht="15" hidden="false" customHeight="false" outlineLevel="0" collapsed="false">
      <c r="A76" s="5" t="s">
        <v>12</v>
      </c>
      <c r="B76" s="5" t="s">
        <v>53</v>
      </c>
      <c r="C76" s="5" t="s">
        <v>71</v>
      </c>
      <c r="D76" s="10" t="n">
        <v>15000</v>
      </c>
      <c r="E76" s="6" t="n">
        <f aca="false">SUMIFS(Tranzakciók!$E:$E,Tranzakciók!$B:$B,$A76,Tranzakciók!$C:$C,$B76,Tranzakciók!$D:$D,$C76)</f>
        <v>30000</v>
      </c>
      <c r="F76" s="6" t="n">
        <f aca="false">IF($B76="BEVÉTEL",E76-D76,D76-E76)</f>
        <v>-15000</v>
      </c>
    </row>
    <row r="77" customFormat="false" ht="15" hidden="false" customHeight="false" outlineLevel="0" collapsed="false">
      <c r="A77" s="5" t="s">
        <v>12</v>
      </c>
      <c r="B77" s="5" t="s">
        <v>53</v>
      </c>
      <c r="C77" s="5" t="s">
        <v>72</v>
      </c>
      <c r="D77" s="10" t="n">
        <v>47500</v>
      </c>
      <c r="E77" s="6" t="n">
        <f aca="false">SUMIFS(Tranzakciók!$E:$E,Tranzakciók!$B:$B,$A77,Tranzakciók!$C:$C,$B77,Tranzakciók!$D:$D,$C77)</f>
        <v>47500</v>
      </c>
      <c r="F77" s="6" t="n">
        <f aca="false">IF($B77="BEVÉTEL",E77-D77,D77-E77)</f>
        <v>0</v>
      </c>
    </row>
    <row r="78" customFormat="false" ht="15" hidden="false" customHeight="false" outlineLevel="0" collapsed="false">
      <c r="A78" s="5" t="s">
        <v>12</v>
      </c>
      <c r="B78" s="5" t="s">
        <v>53</v>
      </c>
      <c r="C78" s="5" t="s">
        <v>73</v>
      </c>
      <c r="D78" s="10" t="n">
        <v>50000</v>
      </c>
      <c r="E78" s="6" t="n">
        <f aca="false">SUMIFS(Tranzakciók!$E:$E,Tranzakciók!$B:$B,$A78,Tranzakciók!$C:$C,$B78,Tranzakciók!$D:$D,$C78)</f>
        <v>50000</v>
      </c>
      <c r="F78" s="6" t="n">
        <f aca="false">IF($B78="BEVÉTEL",E78-D78,D78-E78)</f>
        <v>0</v>
      </c>
    </row>
    <row r="79" customFormat="false" ht="15" hidden="false" customHeight="false" outlineLevel="0" collapsed="false">
      <c r="A79" s="5" t="s">
        <v>12</v>
      </c>
      <c r="B79" s="5" t="s">
        <v>60</v>
      </c>
      <c r="C79" s="5" t="s">
        <v>61</v>
      </c>
      <c r="D79" s="10" t="n">
        <v>80000</v>
      </c>
      <c r="E79" s="6" t="n">
        <f aca="false">SUMIFS(Tranzakciók!$E:$E,Tranzakciók!$B:$B,$A79,Tranzakciók!$C:$C,$B79,Tranzakciók!$D:$D,$C79)</f>
        <v>80000</v>
      </c>
      <c r="F79" s="6" t="n">
        <f aca="false">IF($B79="BEVÉTEL",E79-D79,D79-E79)</f>
        <v>0</v>
      </c>
    </row>
    <row r="80" customFormat="false" ht="15" hidden="false" customHeight="false" outlineLevel="0" collapsed="false">
      <c r="A80" s="5" t="s">
        <v>12</v>
      </c>
      <c r="B80" s="5" t="s">
        <v>60</v>
      </c>
      <c r="C80" s="5" t="s">
        <v>62</v>
      </c>
      <c r="D80" s="10" t="n">
        <v>2500</v>
      </c>
      <c r="E80" s="6" t="n">
        <f aca="false">SUMIFS(Tranzakciók!$E:$E,Tranzakciók!$B:$B,$A80,Tranzakciók!$C:$C,$B80,Tranzakciók!$D:$D,$C80)</f>
        <v>0</v>
      </c>
      <c r="F80" s="6" t="n">
        <f aca="false">IF($B80="BEVÉTEL",E80-D80,D80-E80)</f>
        <v>2500</v>
      </c>
    </row>
    <row r="81" customFormat="false" ht="15" hidden="false" customHeight="false" outlineLevel="0" collapsed="false">
      <c r="A81" s="5" t="s">
        <v>13</v>
      </c>
      <c r="B81" s="5" t="s">
        <v>28</v>
      </c>
      <c r="C81" s="5" t="s">
        <v>29</v>
      </c>
      <c r="D81" s="10" t="n">
        <v>497150</v>
      </c>
      <c r="E81" s="6" t="n">
        <f aca="false">SUMIFS(Tranzakciók!$E:$E,Tranzakciók!$B:$B,$A81,Tranzakciók!$C:$C,$B81,Tranzakciók!$D:$D,$C81)</f>
        <v>497150</v>
      </c>
      <c r="F81" s="6" t="n">
        <f aca="false">IF($B81="BEVÉTEL",E81-D81,D81-E81)</f>
        <v>0</v>
      </c>
    </row>
    <row r="82" customFormat="false" ht="15" hidden="false" customHeight="false" outlineLevel="0" collapsed="false">
      <c r="A82" s="5" t="s">
        <v>13</v>
      </c>
      <c r="B82" s="5" t="s">
        <v>28</v>
      </c>
      <c r="C82" s="5" t="s">
        <v>30</v>
      </c>
      <c r="D82" s="10" t="n">
        <v>54010</v>
      </c>
      <c r="E82" s="6" t="n">
        <f aca="false">SUMIFS(Tranzakciók!$E:$E,Tranzakciók!$B:$B,$A82,Tranzakciók!$C:$C,$B82,Tranzakciók!$D:$D,$C82)</f>
        <v>54010</v>
      </c>
      <c r="F82" s="6" t="n">
        <f aca="false">IF($B82="BEVÉTEL",E82-D82,D82-E82)</f>
        <v>0</v>
      </c>
    </row>
    <row r="83" customFormat="false" ht="15" hidden="false" customHeight="false" outlineLevel="0" collapsed="false">
      <c r="A83" s="5" t="s">
        <v>13</v>
      </c>
      <c r="B83" s="5" t="s">
        <v>31</v>
      </c>
      <c r="C83" s="5" t="s">
        <v>32</v>
      </c>
      <c r="D83" s="10" t="n">
        <v>90000</v>
      </c>
      <c r="E83" s="6" t="n">
        <f aca="false">SUMIFS(Tranzakciók!$E:$E,Tranzakciók!$B:$B,$A83,Tranzakciók!$C:$C,$B83,Tranzakciók!$D:$D,$C83)</f>
        <v>90000</v>
      </c>
      <c r="F83" s="6" t="n">
        <f aca="false">IF($B83="BEVÉTEL",E83-D83,D83-E83)</f>
        <v>0</v>
      </c>
    </row>
    <row r="84" customFormat="false" ht="15" hidden="false" customHeight="false" outlineLevel="0" collapsed="false">
      <c r="A84" s="5" t="s">
        <v>13</v>
      </c>
      <c r="B84" s="5" t="s">
        <v>31</v>
      </c>
      <c r="C84" s="5" t="s">
        <v>33</v>
      </c>
      <c r="D84" s="10" t="n">
        <v>20000</v>
      </c>
      <c r="E84" s="6" t="n">
        <f aca="false">SUMIFS(Tranzakciók!$E:$E,Tranzakciók!$B:$B,$A84,Tranzakciók!$C:$C,$B84,Tranzakciók!$D:$D,$C84)</f>
        <v>16860</v>
      </c>
      <c r="F84" s="6" t="n">
        <f aca="false">IF($B84="BEVÉTEL",E84-D84,D84-E84)</f>
        <v>3140</v>
      </c>
    </row>
    <row r="85" customFormat="false" ht="15" hidden="false" customHeight="false" outlineLevel="0" collapsed="false">
      <c r="A85" s="5" t="s">
        <v>13</v>
      </c>
      <c r="B85" s="5" t="s">
        <v>31</v>
      </c>
      <c r="C85" s="5" t="s">
        <v>34</v>
      </c>
      <c r="D85" s="10" t="n">
        <v>14385</v>
      </c>
      <c r="E85" s="6" t="n">
        <f aca="false">SUMIFS(Tranzakciók!$E:$E,Tranzakciók!$B:$B,$A85,Tranzakciók!$C:$C,$B85,Tranzakciók!$D:$D,$C85)</f>
        <v>14385</v>
      </c>
      <c r="F85" s="6" t="n">
        <f aca="false">IF($B85="BEVÉTEL",E85-D85,D85-E85)</f>
        <v>0</v>
      </c>
    </row>
    <row r="86" customFormat="false" ht="15" hidden="false" customHeight="false" outlineLevel="0" collapsed="false">
      <c r="A86" s="5" t="s">
        <v>13</v>
      </c>
      <c r="B86" s="5" t="s">
        <v>31</v>
      </c>
      <c r="C86" s="5" t="s">
        <v>74</v>
      </c>
      <c r="D86" s="10" t="n">
        <v>0</v>
      </c>
      <c r="E86" s="6" t="n">
        <f aca="false">SUMIFS(Tranzakciók!$E:$E,Tranzakciók!$B:$B,$A86,Tranzakciók!$C:$C,$B86,Tranzakciók!$D:$D,$C86)</f>
        <v>0</v>
      </c>
      <c r="F86" s="6" t="n">
        <f aca="false">IF($B86="BEVÉTEL",E86-D86,D86-E86)</f>
        <v>0</v>
      </c>
    </row>
    <row r="87" customFormat="false" ht="15" hidden="false" customHeight="false" outlineLevel="0" collapsed="false">
      <c r="A87" s="5" t="s">
        <v>13</v>
      </c>
      <c r="B87" s="5" t="s">
        <v>31</v>
      </c>
      <c r="C87" s="5" t="s">
        <v>63</v>
      </c>
      <c r="D87" s="10" t="n">
        <v>4790</v>
      </c>
      <c r="E87" s="6" t="n">
        <f aca="false">SUMIFS(Tranzakciók!$E:$E,Tranzakciók!$B:$B,$A87,Tranzakciók!$C:$C,$B87,Tranzakciók!$D:$D,$C87)</f>
        <v>0</v>
      </c>
      <c r="F87" s="6" t="n">
        <f aca="false">IF($B87="BEVÉTEL",E87-D87,D87-E87)</f>
        <v>4790</v>
      </c>
    </row>
    <row r="88" customFormat="false" ht="15" hidden="false" customHeight="false" outlineLevel="0" collapsed="false">
      <c r="A88" s="5" t="s">
        <v>13</v>
      </c>
      <c r="B88" s="5" t="s">
        <v>31</v>
      </c>
      <c r="C88" s="5" t="s">
        <v>36</v>
      </c>
      <c r="D88" s="10" t="n">
        <v>2190</v>
      </c>
      <c r="E88" s="6" t="n">
        <f aca="false">SUMIFS(Tranzakciók!$E:$E,Tranzakciók!$B:$B,$A88,Tranzakciók!$C:$C,$B88,Tranzakciók!$D:$D,$C88)</f>
        <v>2190</v>
      </c>
      <c r="F88" s="6" t="n">
        <f aca="false">IF($B88="BEVÉTEL",E88-D88,D88-E88)</f>
        <v>0</v>
      </c>
    </row>
    <row r="89" customFormat="false" ht="15" hidden="false" customHeight="false" outlineLevel="0" collapsed="false">
      <c r="A89" s="5" t="s">
        <v>13</v>
      </c>
      <c r="B89" s="5" t="s">
        <v>31</v>
      </c>
      <c r="C89" s="5" t="s">
        <v>37</v>
      </c>
      <c r="D89" s="10" t="n">
        <v>2990</v>
      </c>
      <c r="E89" s="6" t="n">
        <f aca="false">SUMIFS(Tranzakciók!$E:$E,Tranzakciók!$B:$B,$A89,Tranzakciók!$C:$C,$B89,Tranzakciók!$D:$D,$C89)</f>
        <v>2990</v>
      </c>
      <c r="F89" s="6" t="n">
        <f aca="false">IF($B89="BEVÉTEL",E89-D89,D89-E89)</f>
        <v>0</v>
      </c>
    </row>
    <row r="90" customFormat="false" ht="15" hidden="false" customHeight="false" outlineLevel="0" collapsed="false">
      <c r="A90" s="5" t="s">
        <v>13</v>
      </c>
      <c r="B90" s="5" t="s">
        <v>39</v>
      </c>
      <c r="C90" s="5" t="s">
        <v>40</v>
      </c>
      <c r="D90" s="10" t="n">
        <v>0</v>
      </c>
      <c r="E90" s="6" t="n">
        <f aca="false">SUMIFS(Tranzakciók!$E:$E,Tranzakciók!$B:$B,$A90,Tranzakciók!$C:$C,$B90,Tranzakciók!$D:$D,$C90)</f>
        <v>0</v>
      </c>
      <c r="F90" s="6" t="n">
        <f aca="false">IF($B90="BEVÉTEL",E90-D90,D90-E90)</f>
        <v>0</v>
      </c>
    </row>
    <row r="91" customFormat="false" ht="15" hidden="false" customHeight="false" outlineLevel="0" collapsed="false">
      <c r="A91" s="5" t="s">
        <v>13</v>
      </c>
      <c r="B91" s="5" t="s">
        <v>39</v>
      </c>
      <c r="C91" s="5" t="s">
        <v>41</v>
      </c>
      <c r="D91" s="10" t="n">
        <v>3000</v>
      </c>
      <c r="E91" s="6" t="n">
        <f aca="false">SUMIFS(Tranzakciók!$E:$E,Tranzakciók!$B:$B,$A91,Tranzakciók!$C:$C,$B91,Tranzakciók!$D:$D,$C91)</f>
        <v>0</v>
      </c>
      <c r="F91" s="6" t="n">
        <f aca="false">IF($B91="BEVÉTEL",E91-D91,D91-E91)</f>
        <v>3000</v>
      </c>
    </row>
    <row r="92" customFormat="false" ht="15" hidden="false" customHeight="false" outlineLevel="0" collapsed="false">
      <c r="A92" s="5" t="s">
        <v>13</v>
      </c>
      <c r="B92" s="5" t="s">
        <v>42</v>
      </c>
      <c r="C92" s="5" t="s">
        <v>43</v>
      </c>
      <c r="D92" s="10" t="n">
        <v>70000</v>
      </c>
      <c r="E92" s="6" t="n">
        <f aca="false">SUMIFS(Tranzakciók!$E:$E,Tranzakciók!$B:$B,$A92,Tranzakciók!$C:$C,$B92,Tranzakciók!$D:$D,$C92)</f>
        <v>10617</v>
      </c>
      <c r="F92" s="6" t="n">
        <f aca="false">IF($B92="BEVÉTEL",E92-D92,D92-E92)</f>
        <v>59383</v>
      </c>
    </row>
    <row r="93" customFormat="false" ht="15" hidden="false" customHeight="false" outlineLevel="0" collapsed="false">
      <c r="A93" s="5" t="s">
        <v>13</v>
      </c>
      <c r="B93" s="5" t="s">
        <v>42</v>
      </c>
      <c r="C93" s="5" t="s">
        <v>44</v>
      </c>
      <c r="D93" s="10" t="n">
        <v>2500</v>
      </c>
      <c r="E93" s="6" t="n">
        <f aca="false">SUMIFS(Tranzakciók!$E:$E,Tranzakciók!$B:$B,$A93,Tranzakciók!$C:$C,$B93,Tranzakciók!$D:$D,$C93)</f>
        <v>0</v>
      </c>
      <c r="F93" s="6" t="n">
        <f aca="false">IF($B93="BEVÉTEL",E93-D93,D93-E93)</f>
        <v>2500</v>
      </c>
    </row>
    <row r="94" customFormat="false" ht="15" hidden="false" customHeight="false" outlineLevel="0" collapsed="false">
      <c r="A94" s="5" t="s">
        <v>13</v>
      </c>
      <c r="B94" s="5" t="s">
        <v>42</v>
      </c>
      <c r="C94" s="5" t="s">
        <v>45</v>
      </c>
      <c r="D94" s="10" t="n">
        <v>1500</v>
      </c>
      <c r="E94" s="6" t="n">
        <f aca="false">SUMIFS(Tranzakciók!$E:$E,Tranzakciók!$B:$B,$A94,Tranzakciók!$C:$C,$B94,Tranzakciók!$D:$D,$C94)</f>
        <v>0</v>
      </c>
      <c r="F94" s="6" t="n">
        <f aca="false">IF($B94="BEVÉTEL",E94-D94,D94-E94)</f>
        <v>1500</v>
      </c>
    </row>
    <row r="95" customFormat="false" ht="15" hidden="false" customHeight="false" outlineLevel="0" collapsed="false">
      <c r="A95" s="5" t="s">
        <v>13</v>
      </c>
      <c r="B95" s="5" t="s">
        <v>42</v>
      </c>
      <c r="C95" s="5" t="s">
        <v>46</v>
      </c>
      <c r="D95" s="10" t="n">
        <v>0</v>
      </c>
      <c r="E95" s="6" t="n">
        <f aca="false">SUMIFS(Tranzakciók!$E:$E,Tranzakciók!$B:$B,$A95,Tranzakciók!$C:$C,$B95,Tranzakciók!$D:$D,$C95)</f>
        <v>0</v>
      </c>
      <c r="F95" s="6" t="n">
        <f aca="false">IF($B95="BEVÉTEL",E95-D95,D95-E95)</f>
        <v>0</v>
      </c>
    </row>
    <row r="96" customFormat="false" ht="15" hidden="false" customHeight="false" outlineLevel="0" collapsed="false">
      <c r="A96" s="5" t="s">
        <v>13</v>
      </c>
      <c r="B96" s="5" t="s">
        <v>42</v>
      </c>
      <c r="C96" s="5" t="s">
        <v>47</v>
      </c>
      <c r="D96" s="10" t="n">
        <v>0</v>
      </c>
      <c r="E96" s="6" t="n">
        <f aca="false">SUMIFS(Tranzakciók!$E:$E,Tranzakciók!$B:$B,$A96,Tranzakciók!$C:$C,$B96,Tranzakciók!$D:$D,$C96)</f>
        <v>0</v>
      </c>
      <c r="F96" s="6" t="n">
        <f aca="false">IF($B96="BEVÉTEL",E96-D96,D96-E96)</f>
        <v>0</v>
      </c>
    </row>
    <row r="97" customFormat="false" ht="15" hidden="false" customHeight="false" outlineLevel="0" collapsed="false">
      <c r="A97" s="5" t="s">
        <v>13</v>
      </c>
      <c r="B97" s="5" t="s">
        <v>48</v>
      </c>
      <c r="C97" s="5" t="s">
        <v>49</v>
      </c>
      <c r="D97" s="10" t="n">
        <v>4400</v>
      </c>
      <c r="E97" s="6" t="n">
        <f aca="false">SUMIFS(Tranzakciók!$E:$E,Tranzakciók!$B:$B,$A97,Tranzakciók!$C:$C,$B97,Tranzakciók!$D:$D,$C97)</f>
        <v>0</v>
      </c>
      <c r="F97" s="6" t="n">
        <f aca="false">IF($B97="BEVÉTEL",E97-D97,D97-E97)</f>
        <v>4400</v>
      </c>
    </row>
    <row r="98" customFormat="false" ht="15" hidden="false" customHeight="false" outlineLevel="0" collapsed="false">
      <c r="A98" s="5" t="s">
        <v>13</v>
      </c>
      <c r="B98" s="5" t="s">
        <v>48</v>
      </c>
      <c r="C98" s="5" t="s">
        <v>50</v>
      </c>
      <c r="D98" s="10" t="n">
        <v>24000</v>
      </c>
      <c r="E98" s="6" t="n">
        <f aca="false">SUMIFS(Tranzakciók!$E:$E,Tranzakciók!$B:$B,$A98,Tranzakciók!$C:$C,$B98,Tranzakciók!$D:$D,$C98)</f>
        <v>24000</v>
      </c>
      <c r="F98" s="6" t="n">
        <f aca="false">IF($B98="BEVÉTEL",E98-D98,D98-E98)</f>
        <v>0</v>
      </c>
    </row>
    <row r="99" customFormat="false" ht="15" hidden="false" customHeight="false" outlineLevel="0" collapsed="false">
      <c r="A99" s="5" t="s">
        <v>13</v>
      </c>
      <c r="B99" s="5" t="s">
        <v>48</v>
      </c>
      <c r="C99" s="5" t="s">
        <v>51</v>
      </c>
      <c r="D99" s="10" t="n">
        <v>25990</v>
      </c>
      <c r="E99" s="6" t="n">
        <f aca="false">SUMIFS(Tranzakciók!$E:$E,Tranzakciók!$B:$B,$A99,Tranzakciók!$C:$C,$B99,Tranzakciók!$D:$D,$C99)</f>
        <v>5990</v>
      </c>
      <c r="F99" s="6" t="n">
        <f aca="false">IF($B99="BEVÉTEL",E99-D99,D99-E99)</f>
        <v>20000</v>
      </c>
    </row>
    <row r="100" customFormat="false" ht="15" hidden="false" customHeight="false" outlineLevel="0" collapsed="false">
      <c r="A100" s="5" t="s">
        <v>13</v>
      </c>
      <c r="B100" s="5" t="s">
        <v>48</v>
      </c>
      <c r="C100" s="5" t="s">
        <v>52</v>
      </c>
      <c r="D100" s="10" t="n">
        <v>15000</v>
      </c>
      <c r="E100" s="6" t="n">
        <f aca="false">SUMIFS(Tranzakciók!$E:$E,Tranzakciók!$B:$B,$A100,Tranzakciók!$C:$C,$B100,Tranzakciók!$D:$D,$C100)</f>
        <v>0</v>
      </c>
      <c r="F100" s="6" t="n">
        <f aca="false">IF($B100="BEVÉTEL",E100-D100,D100-E100)</f>
        <v>15000</v>
      </c>
    </row>
    <row r="101" customFormat="false" ht="15" hidden="false" customHeight="false" outlineLevel="0" collapsed="false">
      <c r="A101" s="5" t="s">
        <v>13</v>
      </c>
      <c r="B101" s="5" t="s">
        <v>53</v>
      </c>
      <c r="C101" s="5" t="s">
        <v>75</v>
      </c>
      <c r="D101" s="10" t="n">
        <v>50282</v>
      </c>
      <c r="E101" s="6" t="n">
        <f aca="false">SUMIFS(Tranzakciók!$E:$E,Tranzakciók!$B:$B,$A101,Tranzakciók!$C:$C,$B101,Tranzakciók!$D:$D,$C101)</f>
        <v>50282</v>
      </c>
      <c r="F101" s="6" t="n">
        <f aca="false">IF($B101="BEVÉTEL",E101-D101,D101-E101)</f>
        <v>0</v>
      </c>
    </row>
    <row r="102" customFormat="false" ht="15" hidden="false" customHeight="false" outlineLevel="0" collapsed="false">
      <c r="A102" s="5" t="s">
        <v>13</v>
      </c>
      <c r="B102" s="5" t="s">
        <v>53</v>
      </c>
      <c r="C102" s="5" t="s">
        <v>76</v>
      </c>
      <c r="D102" s="10" t="n">
        <v>30000</v>
      </c>
      <c r="E102" s="6" t="n">
        <f aca="false">SUMIFS(Tranzakciók!$E:$E,Tranzakciók!$B:$B,$A102,Tranzakciók!$C:$C,$B102,Tranzakciók!$D:$D,$C102)</f>
        <v>30000</v>
      </c>
      <c r="F102" s="6" t="n">
        <f aca="false">IF($B102="BEVÉTEL",E102-D102,D102-E102)</f>
        <v>0</v>
      </c>
    </row>
    <row r="103" customFormat="false" ht="15" hidden="false" customHeight="false" outlineLevel="0" collapsed="false">
      <c r="A103" s="5" t="s">
        <v>13</v>
      </c>
      <c r="B103" s="5" t="s">
        <v>53</v>
      </c>
      <c r="C103" s="5" t="s">
        <v>77</v>
      </c>
      <c r="D103" s="10" t="n">
        <v>5000</v>
      </c>
      <c r="E103" s="6" t="n">
        <f aca="false">SUMIFS(Tranzakciók!$E:$E,Tranzakciók!$B:$B,$A103,Tranzakciók!$C:$C,$B103,Tranzakciók!$D:$D,$C103)</f>
        <v>5000</v>
      </c>
      <c r="F103" s="6" t="n">
        <f aca="false">IF($B103="BEVÉTEL",E103-D103,D103-E103)</f>
        <v>0</v>
      </c>
    </row>
    <row r="104" customFormat="false" ht="15" hidden="false" customHeight="false" outlineLevel="0" collapsed="false">
      <c r="A104" s="5" t="s">
        <v>13</v>
      </c>
      <c r="B104" s="5" t="s">
        <v>53</v>
      </c>
      <c r="C104" s="5" t="s">
        <v>78</v>
      </c>
      <c r="D104" s="10" t="n">
        <v>8207</v>
      </c>
      <c r="E104" s="6" t="n">
        <f aca="false">SUMIFS(Tranzakciók!$E:$E,Tranzakciók!$B:$B,$A104,Tranzakciók!$C:$C,$B104,Tranzakciók!$D:$D,$C104)</f>
        <v>8207</v>
      </c>
      <c r="F104" s="6" t="n">
        <f aca="false">IF($B104="BEVÉTEL",E104-D104,D104-E104)</f>
        <v>0</v>
      </c>
    </row>
    <row r="105" customFormat="false" ht="15" hidden="false" customHeight="false" outlineLevel="0" collapsed="false">
      <c r="A105" s="5" t="s">
        <v>13</v>
      </c>
      <c r="B105" s="5" t="s">
        <v>53</v>
      </c>
      <c r="C105" s="5" t="s">
        <v>79</v>
      </c>
      <c r="D105" s="10" t="n">
        <v>42053</v>
      </c>
      <c r="E105" s="6" t="n">
        <f aca="false">SUMIFS(Tranzakciók!$E:$E,Tranzakciók!$B:$B,$A105,Tranzakciók!$C:$C,$B105,Tranzakciók!$D:$D,$C105)</f>
        <v>42053</v>
      </c>
      <c r="F105" s="6" t="n">
        <f aca="false">IF($B105="BEVÉTEL",E105-D105,D105-E105)</f>
        <v>0</v>
      </c>
    </row>
    <row r="106" customFormat="false" ht="15" hidden="false" customHeight="false" outlineLevel="0" collapsed="false">
      <c r="A106" s="5" t="s">
        <v>13</v>
      </c>
      <c r="B106" s="5" t="s">
        <v>53</v>
      </c>
      <c r="C106" s="5" t="s">
        <v>80</v>
      </c>
      <c r="D106" s="10" t="n">
        <v>15000</v>
      </c>
      <c r="E106" s="6" t="n">
        <f aca="false">SUMIFS(Tranzakciók!$E:$E,Tranzakciók!$B:$B,$A106,Tranzakciók!$C:$C,$B106,Tranzakciók!$D:$D,$C106)</f>
        <v>15000</v>
      </c>
      <c r="F106" s="6" t="n">
        <f aca="false">IF($B106="BEVÉTEL",E106-D106,D106-E106)</f>
        <v>0</v>
      </c>
    </row>
    <row r="107" customFormat="false" ht="15" hidden="false" customHeight="false" outlineLevel="0" collapsed="false">
      <c r="A107" s="5" t="s">
        <v>13</v>
      </c>
      <c r="B107" s="5" t="s">
        <v>60</v>
      </c>
      <c r="C107" s="5" t="s">
        <v>81</v>
      </c>
      <c r="D107" s="10" t="n">
        <v>90000</v>
      </c>
      <c r="E107" s="6" t="n">
        <f aca="false">SUMIFS(Tranzakciók!$E:$E,Tranzakciók!$B:$B,$A107,Tranzakciók!$C:$C,$B107,Tranzakciók!$D:$D,$C107)</f>
        <v>0</v>
      </c>
      <c r="F107" s="6" t="n">
        <f aca="false">IF($B107="BEVÉTEL",E107-D107,D107-E107)</f>
        <v>90000</v>
      </c>
    </row>
    <row r="108" customFormat="false" ht="15" hidden="false" customHeight="false" outlineLevel="0" collapsed="false">
      <c r="A108" s="5" t="s">
        <v>13</v>
      </c>
      <c r="B108" s="5" t="s">
        <v>60</v>
      </c>
      <c r="C108" s="5" t="s">
        <v>62</v>
      </c>
      <c r="D108" s="10" t="n">
        <v>2500</v>
      </c>
      <c r="E108" s="6" t="n">
        <f aca="false">SUMIFS(Tranzakciók!$E:$E,Tranzakciók!$B:$B,$A108,Tranzakciók!$C:$C,$B108,Tranzakciók!$D:$D,$C108)</f>
        <v>0</v>
      </c>
      <c r="F108" s="6" t="n">
        <f aca="false">IF($B108="BEVÉTEL",E108-D108,D108-E108)</f>
        <v>2500</v>
      </c>
    </row>
    <row r="109" customFormat="false" ht="15" hidden="false" customHeight="false" outlineLevel="0" collapsed="false">
      <c r="A109" s="5" t="s">
        <v>14</v>
      </c>
      <c r="B109" s="5" t="s">
        <v>28</v>
      </c>
      <c r="C109" s="5" t="s">
        <v>29</v>
      </c>
      <c r="D109" s="10" t="n">
        <v>497150</v>
      </c>
      <c r="E109" s="6" t="n">
        <f aca="false">SUMIFS(Tranzakciók!$E:$E,Tranzakciók!$B:$B,$A109,Tranzakciók!$C:$C,$B109,Tranzakciók!$D:$D,$C109)</f>
        <v>497150</v>
      </c>
      <c r="F109" s="6" t="n">
        <f aca="false">IF($B109="BEVÉTEL",E109-D109,D109-E109)</f>
        <v>0</v>
      </c>
    </row>
    <row r="110" customFormat="false" ht="15" hidden="false" customHeight="false" outlineLevel="0" collapsed="false">
      <c r="A110" s="5" t="s">
        <v>14</v>
      </c>
      <c r="B110" s="5" t="s">
        <v>28</v>
      </c>
      <c r="C110" s="5" t="s">
        <v>30</v>
      </c>
      <c r="D110" s="10" t="n">
        <v>91345</v>
      </c>
      <c r="E110" s="6" t="n">
        <f aca="false">SUMIFS(Tranzakciók!$E:$E,Tranzakciók!$B:$B,$A110,Tranzakciók!$C:$C,$B110,Tranzakciók!$D:$D,$C110)</f>
        <v>91345</v>
      </c>
      <c r="F110" s="6" t="n">
        <f aca="false">IF($B110="BEVÉTEL",E110-D110,D110-E110)</f>
        <v>0</v>
      </c>
    </row>
    <row r="111" customFormat="false" ht="15" hidden="false" customHeight="false" outlineLevel="0" collapsed="false">
      <c r="A111" s="5" t="s">
        <v>14</v>
      </c>
      <c r="B111" s="5" t="s">
        <v>31</v>
      </c>
      <c r="C111" s="5" t="s">
        <v>32</v>
      </c>
      <c r="D111" s="10" t="n">
        <v>90000</v>
      </c>
      <c r="E111" s="6" t="n">
        <f aca="false">SUMIFS(Tranzakciók!$E:$E,Tranzakciók!$B:$B,$A111,Tranzakciók!$C:$C,$B111,Tranzakciók!$D:$D,$C111)</f>
        <v>90000</v>
      </c>
      <c r="F111" s="6" t="n">
        <f aca="false">IF($B111="BEVÉTEL",E111-D111,D111-E111)</f>
        <v>0</v>
      </c>
    </row>
    <row r="112" customFormat="false" ht="15" hidden="false" customHeight="false" outlineLevel="0" collapsed="false">
      <c r="A112" s="5" t="s">
        <v>14</v>
      </c>
      <c r="B112" s="5" t="s">
        <v>31</v>
      </c>
      <c r="C112" s="5" t="s">
        <v>33</v>
      </c>
      <c r="D112" s="10" t="n">
        <v>17044</v>
      </c>
      <c r="E112" s="6" t="n">
        <f aca="false">SUMIFS(Tranzakciók!$E:$E,Tranzakciók!$B:$B,$A112,Tranzakciók!$C:$C,$B112,Tranzakciók!$D:$D,$C112)</f>
        <v>17044</v>
      </c>
      <c r="F112" s="6" t="n">
        <f aca="false">IF($B112="BEVÉTEL",E112-D112,D112-E112)</f>
        <v>0</v>
      </c>
    </row>
    <row r="113" customFormat="false" ht="15" hidden="false" customHeight="false" outlineLevel="0" collapsed="false">
      <c r="A113" s="5" t="s">
        <v>14</v>
      </c>
      <c r="B113" s="5" t="s">
        <v>31</v>
      </c>
      <c r="C113" s="5" t="s">
        <v>34</v>
      </c>
      <c r="D113" s="10" t="n">
        <v>14385</v>
      </c>
      <c r="E113" s="6" t="n">
        <f aca="false">SUMIFS(Tranzakciók!$E:$E,Tranzakciók!$B:$B,$A113,Tranzakciók!$C:$C,$B113,Tranzakciók!$D:$D,$C113)</f>
        <v>14385</v>
      </c>
      <c r="F113" s="6" t="n">
        <f aca="false">IF($B113="BEVÉTEL",E113-D113,D113-E113)</f>
        <v>0</v>
      </c>
    </row>
    <row r="114" customFormat="false" ht="15" hidden="false" customHeight="false" outlineLevel="0" collapsed="false">
      <c r="A114" s="5" t="s">
        <v>14</v>
      </c>
      <c r="B114" s="5" t="s">
        <v>31</v>
      </c>
      <c r="C114" s="5" t="s">
        <v>63</v>
      </c>
      <c r="D114" s="10" t="n">
        <v>4790</v>
      </c>
      <c r="E114" s="6" t="n">
        <f aca="false">SUMIFS(Tranzakciók!$E:$E,Tranzakciók!$B:$B,$A114,Tranzakciók!$C:$C,$B114,Tranzakciók!$D:$D,$C114)</f>
        <v>4790</v>
      </c>
      <c r="F114" s="6" t="n">
        <f aca="false">IF($B114="BEVÉTEL",E114-D114,D114-E114)</f>
        <v>0</v>
      </c>
    </row>
    <row r="115" customFormat="false" ht="15" hidden="false" customHeight="false" outlineLevel="0" collapsed="false">
      <c r="A115" s="5" t="s">
        <v>14</v>
      </c>
      <c r="B115" s="5" t="s">
        <v>31</v>
      </c>
      <c r="C115" s="5" t="s">
        <v>36</v>
      </c>
      <c r="D115" s="10" t="n">
        <v>2190</v>
      </c>
      <c r="E115" s="6" t="n">
        <f aca="false">SUMIFS(Tranzakciók!$E:$E,Tranzakciók!$B:$B,$A115,Tranzakciók!$C:$C,$B115,Tranzakciók!$D:$D,$C115)</f>
        <v>2190</v>
      </c>
      <c r="F115" s="6" t="n">
        <f aca="false">IF($B115="BEVÉTEL",E115-D115,D115-E115)</f>
        <v>0</v>
      </c>
    </row>
    <row r="116" customFormat="false" ht="15" hidden="false" customHeight="false" outlineLevel="0" collapsed="false">
      <c r="A116" s="5" t="s">
        <v>14</v>
      </c>
      <c r="B116" s="5" t="s">
        <v>31</v>
      </c>
      <c r="C116" s="5" t="s">
        <v>82</v>
      </c>
      <c r="D116" s="10" t="n">
        <v>2790</v>
      </c>
      <c r="E116" s="6" t="n">
        <f aca="false">SUMIFS(Tranzakciók!$E:$E,Tranzakciók!$B:$B,$A116,Tranzakciók!$C:$C,$B116,Tranzakciók!$D:$D,$C116)</f>
        <v>0</v>
      </c>
      <c r="F116" s="6" t="n">
        <f aca="false">IF($B116="BEVÉTEL",E116-D116,D116-E116)</f>
        <v>2790</v>
      </c>
    </row>
    <row r="117" customFormat="false" ht="15" hidden="false" customHeight="false" outlineLevel="0" collapsed="false">
      <c r="A117" s="5" t="s">
        <v>14</v>
      </c>
      <c r="B117" s="5" t="s">
        <v>39</v>
      </c>
      <c r="C117" s="5" t="s">
        <v>40</v>
      </c>
      <c r="D117" s="10" t="n">
        <v>0</v>
      </c>
      <c r="E117" s="6" t="n">
        <f aca="false">SUMIFS(Tranzakciók!$E:$E,Tranzakciók!$B:$B,$A117,Tranzakciók!$C:$C,$B117,Tranzakciók!$D:$D,$C117)</f>
        <v>0</v>
      </c>
      <c r="F117" s="6" t="n">
        <f aca="false">IF($B117="BEVÉTEL",E117-D117,D117-E117)</f>
        <v>0</v>
      </c>
    </row>
    <row r="118" customFormat="false" ht="15" hidden="false" customHeight="false" outlineLevel="0" collapsed="false">
      <c r="A118" s="5" t="s">
        <v>14</v>
      </c>
      <c r="B118" s="5" t="s">
        <v>39</v>
      </c>
      <c r="C118" s="5" t="s">
        <v>41</v>
      </c>
      <c r="D118" s="10" t="n">
        <v>5000</v>
      </c>
      <c r="E118" s="6" t="n">
        <f aca="false">SUMIFS(Tranzakciók!$E:$E,Tranzakciók!$B:$B,$A118,Tranzakciók!$C:$C,$B118,Tranzakciók!$D:$D,$C118)</f>
        <v>0</v>
      </c>
      <c r="F118" s="6" t="n">
        <f aca="false">IF($B118="BEVÉTEL",E118-D118,D118-E118)</f>
        <v>5000</v>
      </c>
    </row>
    <row r="119" customFormat="false" ht="15" hidden="false" customHeight="false" outlineLevel="0" collapsed="false">
      <c r="A119" s="5" t="s">
        <v>14</v>
      </c>
      <c r="B119" s="5" t="s">
        <v>42</v>
      </c>
      <c r="C119" s="5" t="s">
        <v>43</v>
      </c>
      <c r="D119" s="10" t="n">
        <v>70000</v>
      </c>
      <c r="E119" s="6" t="n">
        <f aca="false">SUMIFS(Tranzakciók!$E:$E,Tranzakciók!$B:$B,$A119,Tranzakciók!$C:$C,$B119,Tranzakciók!$D:$D,$C119)</f>
        <v>18390</v>
      </c>
      <c r="F119" s="6" t="n">
        <f aca="false">IF($B119="BEVÉTEL",E119-D119,D119-E119)</f>
        <v>51610</v>
      </c>
    </row>
    <row r="120" customFormat="false" ht="15" hidden="false" customHeight="false" outlineLevel="0" collapsed="false">
      <c r="A120" s="5" t="s">
        <v>14</v>
      </c>
      <c r="B120" s="5" t="s">
        <v>42</v>
      </c>
      <c r="C120" s="5" t="s">
        <v>44</v>
      </c>
      <c r="D120" s="10" t="n">
        <v>2500</v>
      </c>
      <c r="E120" s="6" t="n">
        <f aca="false">SUMIFS(Tranzakciók!$E:$E,Tranzakciók!$B:$B,$A120,Tranzakciók!$C:$C,$B120,Tranzakciók!$D:$D,$C120)</f>
        <v>0</v>
      </c>
      <c r="F120" s="6" t="n">
        <f aca="false">IF($B120="BEVÉTEL",E120-D120,D120-E120)</f>
        <v>2500</v>
      </c>
    </row>
    <row r="121" customFormat="false" ht="15" hidden="false" customHeight="false" outlineLevel="0" collapsed="false">
      <c r="A121" s="5" t="s">
        <v>14</v>
      </c>
      <c r="B121" s="5" t="s">
        <v>42</v>
      </c>
      <c r="C121" s="5" t="s">
        <v>45</v>
      </c>
      <c r="D121" s="10" t="n">
        <v>1500</v>
      </c>
      <c r="E121" s="6" t="n">
        <f aca="false">SUMIFS(Tranzakciók!$E:$E,Tranzakciók!$B:$B,$A121,Tranzakciók!$C:$C,$B121,Tranzakciók!$D:$D,$C121)</f>
        <v>0</v>
      </c>
      <c r="F121" s="6" t="n">
        <f aca="false">IF($B121="BEVÉTEL",E121-D121,D121-E121)</f>
        <v>1500</v>
      </c>
    </row>
    <row r="122" customFormat="false" ht="15" hidden="false" customHeight="false" outlineLevel="0" collapsed="false">
      <c r="A122" s="5" t="s">
        <v>14</v>
      </c>
      <c r="B122" s="5" t="s">
        <v>42</v>
      </c>
      <c r="C122" s="5" t="s">
        <v>46</v>
      </c>
      <c r="D122" s="10" t="n">
        <v>0</v>
      </c>
      <c r="E122" s="6" t="n">
        <f aca="false">SUMIFS(Tranzakciók!$E:$E,Tranzakciók!$B:$B,$A122,Tranzakciók!$C:$C,$B122,Tranzakciók!$D:$D,$C122)</f>
        <v>0</v>
      </c>
      <c r="F122" s="6" t="n">
        <f aca="false">IF($B122="BEVÉTEL",E122-D122,D122-E122)</f>
        <v>0</v>
      </c>
    </row>
    <row r="123" customFormat="false" ht="15" hidden="false" customHeight="false" outlineLevel="0" collapsed="false">
      <c r="A123" s="5" t="s">
        <v>14</v>
      </c>
      <c r="B123" s="5" t="s">
        <v>42</v>
      </c>
      <c r="C123" s="5" t="s">
        <v>47</v>
      </c>
      <c r="D123" s="10" t="n">
        <v>15000</v>
      </c>
      <c r="E123" s="6" t="n">
        <f aca="false">SUMIFS(Tranzakciók!$E:$E,Tranzakciók!$B:$B,$A123,Tranzakciók!$C:$C,$B123,Tranzakciók!$D:$D,$C123)</f>
        <v>0</v>
      </c>
      <c r="F123" s="6" t="n">
        <f aca="false">IF($B123="BEVÉTEL",E123-D123,D123-E123)</f>
        <v>15000</v>
      </c>
    </row>
    <row r="124" customFormat="false" ht="15" hidden="false" customHeight="false" outlineLevel="0" collapsed="false">
      <c r="A124" s="5" t="s">
        <v>14</v>
      </c>
      <c r="B124" s="5" t="s">
        <v>48</v>
      </c>
      <c r="C124" s="5" t="s">
        <v>49</v>
      </c>
      <c r="D124" s="10" t="n">
        <v>4000</v>
      </c>
      <c r="E124" s="6" t="n">
        <f aca="false">SUMIFS(Tranzakciók!$E:$E,Tranzakciók!$B:$B,$A124,Tranzakciók!$C:$C,$B124,Tranzakciók!$D:$D,$C124)</f>
        <v>0</v>
      </c>
      <c r="F124" s="6" t="n">
        <f aca="false">IF($B124="BEVÉTEL",E124-D124,D124-E124)</f>
        <v>4000</v>
      </c>
    </row>
    <row r="125" customFormat="false" ht="15" hidden="false" customHeight="false" outlineLevel="0" collapsed="false">
      <c r="A125" s="5" t="s">
        <v>14</v>
      </c>
      <c r="B125" s="5" t="s">
        <v>48</v>
      </c>
      <c r="C125" s="5" t="s">
        <v>50</v>
      </c>
      <c r="D125" s="10" t="n">
        <v>19000</v>
      </c>
      <c r="E125" s="6" t="n">
        <f aca="false">SUMIFS(Tranzakciók!$E:$E,Tranzakciók!$B:$B,$A125,Tranzakciók!$C:$C,$B125,Tranzakciók!$D:$D,$C125)</f>
        <v>19000</v>
      </c>
      <c r="F125" s="6" t="n">
        <f aca="false">IF($B125="BEVÉTEL",E125-D125,D125-E125)</f>
        <v>0</v>
      </c>
    </row>
    <row r="126" customFormat="false" ht="15" hidden="false" customHeight="false" outlineLevel="0" collapsed="false">
      <c r="A126" s="5" t="s">
        <v>14</v>
      </c>
      <c r="B126" s="5" t="s">
        <v>48</v>
      </c>
      <c r="C126" s="5" t="s">
        <v>83</v>
      </c>
      <c r="D126" s="10" t="n">
        <v>21900</v>
      </c>
      <c r="E126" s="6" t="n">
        <f aca="false">SUMIFS(Tranzakciók!$E:$E,Tranzakciók!$B:$B,$A126,Tranzakciók!$C:$C,$B126,Tranzakciók!$D:$D,$C126)</f>
        <v>0</v>
      </c>
      <c r="F126" s="6" t="n">
        <f aca="false">IF($B126="BEVÉTEL",E126-D126,D126-E126)</f>
        <v>21900</v>
      </c>
    </row>
    <row r="127" customFormat="false" ht="15" hidden="false" customHeight="false" outlineLevel="0" collapsed="false">
      <c r="A127" s="5" t="s">
        <v>14</v>
      </c>
      <c r="B127" s="5" t="s">
        <v>48</v>
      </c>
      <c r="C127" s="5" t="s">
        <v>52</v>
      </c>
      <c r="D127" s="10" t="n">
        <v>15000</v>
      </c>
      <c r="E127" s="6" t="n">
        <f aca="false">SUMIFS(Tranzakciók!$E:$E,Tranzakciók!$B:$B,$A127,Tranzakciók!$C:$C,$B127,Tranzakciók!$D:$D,$C127)</f>
        <v>0</v>
      </c>
      <c r="F127" s="6" t="n">
        <f aca="false">IF($B127="BEVÉTEL",E127-D127,D127-E127)</f>
        <v>15000</v>
      </c>
    </row>
    <row r="128" customFormat="false" ht="15" hidden="false" customHeight="false" outlineLevel="0" collapsed="false">
      <c r="A128" s="5" t="s">
        <v>14</v>
      </c>
      <c r="B128" s="5" t="s">
        <v>53</v>
      </c>
      <c r="C128" s="5" t="s">
        <v>84</v>
      </c>
      <c r="D128" s="10" t="n">
        <v>20000</v>
      </c>
      <c r="E128" s="6" t="n">
        <f aca="false">SUMIFS(Tranzakciók!$E:$E,Tranzakciók!$B:$B,$A128,Tranzakciók!$C:$C,$B128,Tranzakciók!$D:$D,$C128)</f>
        <v>0</v>
      </c>
      <c r="F128" s="6" t="n">
        <f aca="false">IF($B128="BEVÉTEL",E128-D128,D128-E128)</f>
        <v>20000</v>
      </c>
    </row>
    <row r="129" customFormat="false" ht="15" hidden="false" customHeight="false" outlineLevel="0" collapsed="false">
      <c r="A129" s="5" t="s">
        <v>14</v>
      </c>
      <c r="B129" s="5" t="s">
        <v>53</v>
      </c>
      <c r="C129" s="5" t="s">
        <v>85</v>
      </c>
      <c r="D129" s="10" t="n">
        <v>55000</v>
      </c>
      <c r="E129" s="6" t="n">
        <f aca="false">SUMIFS(Tranzakciók!$E:$E,Tranzakciók!$B:$B,$A129,Tranzakciók!$C:$C,$B129,Tranzakciók!$D:$D,$C129)</f>
        <v>55000</v>
      </c>
      <c r="F129" s="6" t="n">
        <f aca="false">IF($B129="BEVÉTEL",E129-D129,D129-E129)</f>
        <v>0</v>
      </c>
    </row>
    <row r="130" customFormat="false" ht="15" hidden="false" customHeight="false" outlineLevel="0" collapsed="false">
      <c r="A130" s="5" t="s">
        <v>14</v>
      </c>
      <c r="B130" s="5" t="s">
        <v>53</v>
      </c>
      <c r="C130" s="5" t="s">
        <v>86</v>
      </c>
      <c r="D130" s="10" t="n">
        <v>28095</v>
      </c>
      <c r="E130" s="6" t="n">
        <f aca="false">SUMIFS(Tranzakciók!$E:$E,Tranzakciók!$B:$B,$A130,Tranzakciók!$C:$C,$B130,Tranzakciók!$D:$D,$C130)</f>
        <v>28095</v>
      </c>
      <c r="F130" s="6" t="n">
        <f aca="false">IF($B130="BEVÉTEL",E130-D130,D130-E130)</f>
        <v>0</v>
      </c>
    </row>
    <row r="131" customFormat="false" ht="15" hidden="false" customHeight="false" outlineLevel="0" collapsed="false">
      <c r="A131" s="5" t="s">
        <v>14</v>
      </c>
      <c r="B131" s="5" t="s">
        <v>53</v>
      </c>
      <c r="C131" s="5" t="s">
        <v>87</v>
      </c>
      <c r="D131" s="10" t="n">
        <v>20000</v>
      </c>
      <c r="E131" s="6" t="n">
        <f aca="false">SUMIFS(Tranzakciók!$E:$E,Tranzakciók!$B:$B,$A131,Tranzakciók!$C:$C,$B131,Tranzakciók!$D:$D,$C131)</f>
        <v>0</v>
      </c>
      <c r="F131" s="6" t="n">
        <f aca="false">IF($B131="BEVÉTEL",E131-D131,D131-E131)</f>
        <v>20000</v>
      </c>
    </row>
    <row r="132" customFormat="false" ht="15" hidden="false" customHeight="false" outlineLevel="0" collapsed="false">
      <c r="A132" s="5" t="s">
        <v>14</v>
      </c>
      <c r="B132" s="5" t="s">
        <v>60</v>
      </c>
      <c r="C132" s="5" t="s">
        <v>81</v>
      </c>
      <c r="D132" s="10" t="n">
        <v>60000</v>
      </c>
      <c r="E132" s="6" t="n">
        <f aca="false">SUMIFS(Tranzakciók!$E:$E,Tranzakciók!$B:$B,$A132,Tranzakciók!$C:$C,$B132,Tranzakciók!$D:$D,$C132)</f>
        <v>60000</v>
      </c>
      <c r="F132" s="6" t="n">
        <f aca="false">IF($B132="BEVÉTEL",E132-D132,D132-E132)</f>
        <v>0</v>
      </c>
    </row>
    <row r="133" customFormat="false" ht="15" hidden="false" customHeight="false" outlineLevel="0" collapsed="false">
      <c r="A133" s="5" t="s">
        <v>14</v>
      </c>
      <c r="B133" s="5" t="s">
        <v>60</v>
      </c>
      <c r="C133" s="5" t="s">
        <v>88</v>
      </c>
      <c r="D133" s="10" t="n">
        <v>55000</v>
      </c>
      <c r="E133" s="6" t="n">
        <f aca="false">SUMIFS(Tranzakciók!$E:$E,Tranzakciók!$B:$B,$A133,Tranzakciók!$C:$C,$B133,Tranzakciók!$D:$D,$C133)</f>
        <v>55000</v>
      </c>
      <c r="F133" s="6" t="n">
        <f aca="false">IF($B133="BEVÉTEL",E133-D133,D133-E133)</f>
        <v>0</v>
      </c>
    </row>
    <row r="134" customFormat="false" ht="15" hidden="false" customHeight="false" outlineLevel="0" collapsed="false">
      <c r="A134" s="5" t="s">
        <v>15</v>
      </c>
      <c r="B134" s="5" t="s">
        <v>28</v>
      </c>
      <c r="C134" s="5" t="s">
        <v>29</v>
      </c>
      <c r="D134" s="10" t="n">
        <v>497150</v>
      </c>
      <c r="E134" s="6" t="n">
        <f aca="false">SUMIFS(Tranzakciók!$E:$E,Tranzakciók!$B:$B,$A134,Tranzakciók!$C:$C,$B134,Tranzakciók!$D:$D,$C134)</f>
        <v>0</v>
      </c>
      <c r="F134" s="6" t="n">
        <f aca="false">IF($B134="BEVÉTEL",E134-D134,D134-E134)</f>
        <v>-497150</v>
      </c>
    </row>
    <row r="135" customFormat="false" ht="15" hidden="false" customHeight="false" outlineLevel="0" collapsed="false">
      <c r="A135" s="5" t="s">
        <v>15</v>
      </c>
      <c r="B135" s="5" t="s">
        <v>28</v>
      </c>
      <c r="C135" s="5" t="s">
        <v>30</v>
      </c>
      <c r="D135" s="10" t="n">
        <v>44010</v>
      </c>
      <c r="E135" s="6" t="n">
        <f aca="false">SUMIFS(Tranzakciók!$E:$E,Tranzakciók!$B:$B,$A135,Tranzakciók!$C:$C,$B135,Tranzakciók!$D:$D,$C135)</f>
        <v>0</v>
      </c>
      <c r="F135" s="6" t="n">
        <f aca="false">IF($B135="BEVÉTEL",E135-D135,D135-E135)</f>
        <v>-44010</v>
      </c>
    </row>
    <row r="136" customFormat="false" ht="15" hidden="false" customHeight="false" outlineLevel="0" collapsed="false">
      <c r="A136" s="5" t="s">
        <v>15</v>
      </c>
      <c r="B136" s="5" t="s">
        <v>31</v>
      </c>
      <c r="C136" s="5" t="s">
        <v>32</v>
      </c>
      <c r="D136" s="10" t="n">
        <v>90000</v>
      </c>
      <c r="E136" s="6" t="n">
        <f aca="false">SUMIFS(Tranzakciók!$E:$E,Tranzakciók!$B:$B,$A136,Tranzakciók!$C:$C,$B136,Tranzakciók!$D:$D,$C136)</f>
        <v>90000</v>
      </c>
      <c r="F136" s="6" t="n">
        <f aca="false">IF($B136="BEVÉTEL",E136-D136,D136-E136)</f>
        <v>0</v>
      </c>
    </row>
    <row r="137" customFormat="false" ht="15" hidden="false" customHeight="false" outlineLevel="0" collapsed="false">
      <c r="A137" s="5" t="s">
        <v>15</v>
      </c>
      <c r="B137" s="5" t="s">
        <v>31</v>
      </c>
      <c r="C137" s="5" t="s">
        <v>33</v>
      </c>
      <c r="D137" s="10" t="n">
        <v>16000</v>
      </c>
      <c r="E137" s="6" t="n">
        <f aca="false">SUMIFS(Tranzakciók!$E:$E,Tranzakciók!$B:$B,$A137,Tranzakciók!$C:$C,$B137,Tranzakciók!$D:$D,$C137)</f>
        <v>16000</v>
      </c>
      <c r="F137" s="6" t="n">
        <f aca="false">IF($B137="BEVÉTEL",E137-D137,D137-E137)</f>
        <v>0</v>
      </c>
    </row>
    <row r="138" customFormat="false" ht="15" hidden="false" customHeight="false" outlineLevel="0" collapsed="false">
      <c r="A138" s="5" t="s">
        <v>15</v>
      </c>
      <c r="B138" s="5" t="s">
        <v>31</v>
      </c>
      <c r="C138" s="5" t="s">
        <v>34</v>
      </c>
      <c r="D138" s="10" t="n">
        <v>14385</v>
      </c>
      <c r="E138" s="6" t="n">
        <f aca="false">SUMIFS(Tranzakciók!$E:$E,Tranzakciók!$B:$B,$A138,Tranzakciók!$C:$C,$B138,Tranzakciók!$D:$D,$C138)</f>
        <v>14385</v>
      </c>
      <c r="F138" s="6" t="n">
        <f aca="false">IF($B138="BEVÉTEL",E138-D138,D138-E138)</f>
        <v>0</v>
      </c>
    </row>
    <row r="139" customFormat="false" ht="15" hidden="false" customHeight="false" outlineLevel="0" collapsed="false">
      <c r="A139" s="5" t="s">
        <v>15</v>
      </c>
      <c r="B139" s="5" t="s">
        <v>31</v>
      </c>
      <c r="C139" s="5" t="s">
        <v>63</v>
      </c>
      <c r="D139" s="10" t="n">
        <v>4790</v>
      </c>
      <c r="E139" s="6" t="n">
        <f aca="false">SUMIFS(Tranzakciók!$E:$E,Tranzakciók!$B:$B,$A139,Tranzakciók!$C:$C,$B139,Tranzakciók!$D:$D,$C139)</f>
        <v>4790</v>
      </c>
      <c r="F139" s="6" t="n">
        <f aca="false">IF($B139="BEVÉTEL",E139-D139,D139-E139)</f>
        <v>0</v>
      </c>
    </row>
    <row r="140" customFormat="false" ht="15" hidden="false" customHeight="false" outlineLevel="0" collapsed="false">
      <c r="A140" s="5" t="s">
        <v>15</v>
      </c>
      <c r="B140" s="5" t="s">
        <v>31</v>
      </c>
      <c r="C140" s="5" t="s">
        <v>36</v>
      </c>
      <c r="D140" s="10" t="n">
        <v>1990</v>
      </c>
      <c r="E140" s="6" t="n">
        <f aca="false">SUMIFS(Tranzakciók!$E:$E,Tranzakciók!$B:$B,$A140,Tranzakciók!$C:$C,$B140,Tranzakciók!$D:$D,$C140)</f>
        <v>1990</v>
      </c>
      <c r="F140" s="6" t="n">
        <f aca="false">IF($B140="BEVÉTEL",E140-D140,D140-E140)</f>
        <v>0</v>
      </c>
    </row>
    <row r="141" customFormat="false" ht="15" hidden="false" customHeight="false" outlineLevel="0" collapsed="false">
      <c r="A141" s="5" t="s">
        <v>15</v>
      </c>
      <c r="B141" s="5" t="s">
        <v>39</v>
      </c>
      <c r="C141" s="5" t="s">
        <v>40</v>
      </c>
      <c r="D141" s="10" t="n">
        <v>0</v>
      </c>
      <c r="E141" s="6" t="n">
        <f aca="false">SUMIFS(Tranzakciók!$E:$E,Tranzakciók!$B:$B,$A141,Tranzakciók!$C:$C,$B141,Tranzakciók!$D:$D,$C141)</f>
        <v>0</v>
      </c>
      <c r="F141" s="6" t="n">
        <f aca="false">IF($B141="BEVÉTEL",E141-D141,D141-E141)</f>
        <v>0</v>
      </c>
    </row>
    <row r="142" customFormat="false" ht="15" hidden="false" customHeight="false" outlineLevel="0" collapsed="false">
      <c r="A142" s="5" t="s">
        <v>15</v>
      </c>
      <c r="B142" s="5" t="s">
        <v>39</v>
      </c>
      <c r="C142" s="5" t="s">
        <v>41</v>
      </c>
      <c r="D142" s="10" t="n">
        <v>10000</v>
      </c>
      <c r="E142" s="6" t="n">
        <f aca="false">SUMIFS(Tranzakciók!$E:$E,Tranzakciók!$B:$B,$A142,Tranzakciók!$C:$C,$B142,Tranzakciók!$D:$D,$C142)</f>
        <v>0</v>
      </c>
      <c r="F142" s="6" t="n">
        <f aca="false">IF($B142="BEVÉTEL",E142-D142,D142-E142)</f>
        <v>10000</v>
      </c>
    </row>
    <row r="143" customFormat="false" ht="15" hidden="false" customHeight="false" outlineLevel="0" collapsed="false">
      <c r="A143" s="5" t="s">
        <v>15</v>
      </c>
      <c r="B143" s="5" t="s">
        <v>42</v>
      </c>
      <c r="C143" s="5" t="s">
        <v>43</v>
      </c>
      <c r="D143" s="10" t="n">
        <v>90000</v>
      </c>
      <c r="E143" s="6" t="n">
        <f aca="false">SUMIFS(Tranzakciók!$E:$E,Tranzakciók!$B:$B,$A143,Tranzakciók!$C:$C,$B143,Tranzakciók!$D:$D,$C143)</f>
        <v>86565</v>
      </c>
      <c r="F143" s="6" t="n">
        <f aca="false">IF($B143="BEVÉTEL",E143-D143,D143-E143)</f>
        <v>3435</v>
      </c>
    </row>
    <row r="144" customFormat="false" ht="15" hidden="false" customHeight="false" outlineLevel="0" collapsed="false">
      <c r="A144" s="5" t="s">
        <v>15</v>
      </c>
      <c r="B144" s="5" t="s">
        <v>42</v>
      </c>
      <c r="C144" s="5" t="s">
        <v>44</v>
      </c>
      <c r="D144" s="10" t="n">
        <v>2500</v>
      </c>
      <c r="E144" s="6" t="n">
        <f aca="false">SUMIFS(Tranzakciók!$E:$E,Tranzakciók!$B:$B,$A144,Tranzakciók!$C:$C,$B144,Tranzakciók!$D:$D,$C144)</f>
        <v>0</v>
      </c>
      <c r="F144" s="6" t="n">
        <f aca="false">IF($B144="BEVÉTEL",E144-D144,D144-E144)</f>
        <v>2500</v>
      </c>
    </row>
    <row r="145" customFormat="false" ht="15" hidden="false" customHeight="false" outlineLevel="0" collapsed="false">
      <c r="A145" s="5" t="s">
        <v>15</v>
      </c>
      <c r="B145" s="5" t="s">
        <v>42</v>
      </c>
      <c r="C145" s="5" t="s">
        <v>45</v>
      </c>
      <c r="D145" s="10" t="n">
        <v>1500</v>
      </c>
      <c r="E145" s="6" t="n">
        <f aca="false">SUMIFS(Tranzakciók!$E:$E,Tranzakciók!$B:$B,$A145,Tranzakciók!$C:$C,$B145,Tranzakciók!$D:$D,$C145)</f>
        <v>0</v>
      </c>
      <c r="F145" s="6" t="n">
        <f aca="false">IF($B145="BEVÉTEL",E145-D145,D145-E145)</f>
        <v>1500</v>
      </c>
    </row>
    <row r="146" customFormat="false" ht="15" hidden="false" customHeight="false" outlineLevel="0" collapsed="false">
      <c r="A146" s="5" t="s">
        <v>15</v>
      </c>
      <c r="B146" s="5" t="s">
        <v>42</v>
      </c>
      <c r="C146" s="5" t="s">
        <v>46</v>
      </c>
      <c r="D146" s="10" t="n">
        <v>15000</v>
      </c>
      <c r="E146" s="6" t="n">
        <f aca="false">SUMIFS(Tranzakciók!$E:$E,Tranzakciók!$B:$B,$A146,Tranzakciók!$C:$C,$B146,Tranzakciók!$D:$D,$C146)</f>
        <v>15000</v>
      </c>
      <c r="F146" s="6" t="n">
        <f aca="false">IF($B146="BEVÉTEL",E146-D146,D146-E146)</f>
        <v>0</v>
      </c>
    </row>
    <row r="147" customFormat="false" ht="15" hidden="false" customHeight="false" outlineLevel="0" collapsed="false">
      <c r="A147" s="5" t="s">
        <v>15</v>
      </c>
      <c r="B147" s="5" t="s">
        <v>42</v>
      </c>
      <c r="C147" s="5" t="s">
        <v>47</v>
      </c>
      <c r="D147" s="10" t="n">
        <v>0</v>
      </c>
      <c r="E147" s="6" t="n">
        <f aca="false">SUMIFS(Tranzakciók!$E:$E,Tranzakciók!$B:$B,$A147,Tranzakciók!$C:$C,$B147,Tranzakciók!$D:$D,$C147)</f>
        <v>0</v>
      </c>
      <c r="F147" s="6" t="n">
        <f aca="false">IF($B147="BEVÉTEL",E147-D147,D147-E147)</f>
        <v>0</v>
      </c>
    </row>
    <row r="148" customFormat="false" ht="15" hidden="false" customHeight="false" outlineLevel="0" collapsed="false">
      <c r="A148" s="5" t="s">
        <v>15</v>
      </c>
      <c r="B148" s="5" t="s">
        <v>48</v>
      </c>
      <c r="C148" s="5" t="s">
        <v>50</v>
      </c>
      <c r="D148" s="10" t="n">
        <v>24000</v>
      </c>
      <c r="E148" s="6" t="n">
        <f aca="false">SUMIFS(Tranzakciók!$E:$E,Tranzakciók!$B:$B,$A148,Tranzakciók!$C:$C,$B148,Tranzakciók!$D:$D,$C148)</f>
        <v>24000</v>
      </c>
      <c r="F148" s="6" t="n">
        <f aca="false">IF($B148="BEVÉTEL",E148-D148,D148-E148)</f>
        <v>0</v>
      </c>
    </row>
    <row r="149" customFormat="false" ht="15" hidden="false" customHeight="false" outlineLevel="0" collapsed="false">
      <c r="A149" s="5" t="s">
        <v>15</v>
      </c>
      <c r="B149" s="5" t="s">
        <v>48</v>
      </c>
      <c r="C149" s="5" t="s">
        <v>83</v>
      </c>
      <c r="D149" s="10" t="n">
        <v>13900</v>
      </c>
      <c r="E149" s="6" t="n">
        <f aca="false">SUMIFS(Tranzakciók!$E:$E,Tranzakciók!$B:$B,$A149,Tranzakciók!$C:$C,$B149,Tranzakciók!$D:$D,$C149)</f>
        <v>13900</v>
      </c>
      <c r="F149" s="6" t="n">
        <f aca="false">IF($B149="BEVÉTEL",E149-D149,D149-E149)</f>
        <v>0</v>
      </c>
    </row>
    <row r="150" customFormat="false" ht="15" hidden="false" customHeight="false" outlineLevel="0" collapsed="false">
      <c r="A150" s="5" t="s">
        <v>15</v>
      </c>
      <c r="B150" s="5" t="s">
        <v>48</v>
      </c>
      <c r="C150" s="5" t="s">
        <v>52</v>
      </c>
      <c r="D150" s="10" t="n">
        <v>15000</v>
      </c>
      <c r="E150" s="6" t="n">
        <f aca="false">SUMIFS(Tranzakciók!$E:$E,Tranzakciók!$B:$B,$A150,Tranzakciók!$C:$C,$B150,Tranzakciók!$D:$D,$C150)</f>
        <v>15000</v>
      </c>
      <c r="F150" s="6" t="n">
        <f aca="false">IF($B150="BEVÉTEL",E150-D150,D150-E150)</f>
        <v>0</v>
      </c>
    </row>
    <row r="151" customFormat="false" ht="15" hidden="false" customHeight="false" outlineLevel="0" collapsed="false">
      <c r="A151" s="5" t="s">
        <v>15</v>
      </c>
      <c r="B151" s="5" t="s">
        <v>53</v>
      </c>
      <c r="C151" s="5" t="s">
        <v>89</v>
      </c>
      <c r="D151" s="10" t="n">
        <v>30000</v>
      </c>
      <c r="E151" s="6" t="n">
        <f aca="false">SUMIFS(Tranzakciók!$E:$E,Tranzakciók!$B:$B,$A151,Tranzakciók!$C:$C,$B151,Tranzakciók!$D:$D,$C151)</f>
        <v>0</v>
      </c>
      <c r="F151" s="6" t="n">
        <f aca="false">IF($B151="BEVÉTEL",E151-D151,D151-E151)</f>
        <v>30000</v>
      </c>
    </row>
    <row r="152" customFormat="false" ht="15" hidden="false" customHeight="false" outlineLevel="0" collapsed="false">
      <c r="A152" s="5" t="s">
        <v>15</v>
      </c>
      <c r="B152" s="5" t="s">
        <v>53</v>
      </c>
      <c r="C152" s="5" t="s">
        <v>84</v>
      </c>
      <c r="D152" s="10" t="n">
        <v>16000</v>
      </c>
      <c r="E152" s="6" t="n">
        <f aca="false">SUMIFS(Tranzakciók!$E:$E,Tranzakciók!$B:$B,$A152,Tranzakciók!$C:$C,$B152,Tranzakciók!$D:$D,$C152)</f>
        <v>8000</v>
      </c>
      <c r="F152" s="6" t="n">
        <f aca="false">IF($B152="BEVÉTEL",E152-D152,D152-E152)</f>
        <v>8000</v>
      </c>
    </row>
    <row r="153" customFormat="false" ht="15" hidden="false" customHeight="false" outlineLevel="0" collapsed="false">
      <c r="A153" s="5" t="s">
        <v>15</v>
      </c>
      <c r="B153" s="5" t="s">
        <v>53</v>
      </c>
      <c r="C153" s="5" t="s">
        <v>90</v>
      </c>
      <c r="D153" s="10" t="n">
        <v>46500</v>
      </c>
      <c r="E153" s="6" t="n">
        <f aca="false">SUMIFS(Tranzakciók!$E:$E,Tranzakciók!$B:$B,$A153,Tranzakciók!$C:$C,$B153,Tranzakciók!$D:$D,$C153)</f>
        <v>46500</v>
      </c>
      <c r="F153" s="6" t="n">
        <f aca="false">IF($B153="BEVÉTEL",E153-D153,D153-E153)</f>
        <v>0</v>
      </c>
    </row>
    <row r="154" customFormat="false" ht="15" hidden="false" customHeight="false" outlineLevel="0" collapsed="false">
      <c r="A154" s="5" t="s">
        <v>15</v>
      </c>
      <c r="B154" s="5" t="s">
        <v>53</v>
      </c>
      <c r="C154" s="5" t="s">
        <v>91</v>
      </c>
      <c r="D154" s="10" t="n">
        <v>16000</v>
      </c>
      <c r="E154" s="6" t="n">
        <f aca="false">SUMIFS(Tranzakciók!$E:$E,Tranzakciók!$B:$B,$A154,Tranzakciók!$C:$C,$B154,Tranzakciók!$D:$D,$C154)</f>
        <v>16000</v>
      </c>
      <c r="F154" s="6" t="n">
        <f aca="false">IF($B154="BEVÉTEL",E154-D154,D154-E154)</f>
        <v>0</v>
      </c>
    </row>
    <row r="155" customFormat="false" ht="15" hidden="false" customHeight="false" outlineLevel="0" collapsed="false">
      <c r="A155" s="5" t="s">
        <v>15</v>
      </c>
      <c r="B155" s="5" t="s">
        <v>53</v>
      </c>
      <c r="C155" s="5" t="s">
        <v>92</v>
      </c>
      <c r="D155" s="10" t="n">
        <v>58095</v>
      </c>
      <c r="E155" s="6" t="n">
        <f aca="false">SUMIFS(Tranzakciók!$E:$E,Tranzakciók!$B:$B,$A155,Tranzakciók!$C:$C,$B155,Tranzakciók!$D:$D,$C155)</f>
        <v>58095</v>
      </c>
      <c r="F155" s="6" t="n">
        <f aca="false">IF($B155="BEVÉTEL",E155-D155,D155-E155)</f>
        <v>0</v>
      </c>
    </row>
    <row r="156" customFormat="false" ht="15" hidden="false" customHeight="false" outlineLevel="0" collapsed="false">
      <c r="A156" s="5" t="s">
        <v>15</v>
      </c>
      <c r="B156" s="5" t="s">
        <v>60</v>
      </c>
      <c r="C156" s="5" t="s">
        <v>61</v>
      </c>
      <c r="D156" s="10" t="n">
        <v>0</v>
      </c>
      <c r="E156" s="6" t="n">
        <f aca="false">SUMIFS(Tranzakciók!$E:$E,Tranzakciók!$B:$B,$A156,Tranzakciók!$C:$C,$B156,Tranzakciók!$D:$D,$C156)</f>
        <v>0</v>
      </c>
      <c r="F156" s="6" t="n">
        <f aca="false">IF($B156="BEVÉTEL",E156-D156,D156-E156)</f>
        <v>0</v>
      </c>
    </row>
    <row r="157" customFormat="false" ht="15" hidden="false" customHeight="false" outlineLevel="0" collapsed="false">
      <c r="A157" s="5" t="s">
        <v>15</v>
      </c>
      <c r="B157" s="5" t="s">
        <v>60</v>
      </c>
      <c r="C157" s="5" t="s">
        <v>62</v>
      </c>
      <c r="D157" s="10" t="n">
        <v>2500</v>
      </c>
      <c r="E157" s="6" t="n">
        <f aca="false">SUMIFS(Tranzakciók!$E:$E,Tranzakciók!$B:$B,$A157,Tranzakciók!$C:$C,$B157,Tranzakciók!$D:$D,$C157)</f>
        <v>0</v>
      </c>
      <c r="F157" s="6" t="n">
        <f aca="false">IF($B157="BEVÉTEL",E157-D157,D157-E157)</f>
        <v>2500</v>
      </c>
    </row>
    <row r="158" customFormat="false" ht="15" hidden="false" customHeight="false" outlineLevel="0" collapsed="false">
      <c r="A158" s="5" t="s">
        <v>16</v>
      </c>
      <c r="B158" s="5" t="s">
        <v>28</v>
      </c>
      <c r="C158" s="5" t="s">
        <v>29</v>
      </c>
      <c r="D158" s="10" t="n">
        <v>497150</v>
      </c>
      <c r="E158" s="6" t="n">
        <f aca="false">SUMIFS(Tranzakciók!$E:$E,Tranzakciók!$B:$B,$A158,Tranzakciók!$C:$C,$B158,Tranzakciók!$D:$D,$C158)</f>
        <v>497150</v>
      </c>
      <c r="F158" s="6" t="n">
        <f aca="false">IF($B158="BEVÉTEL",E158-D158,D158-E158)</f>
        <v>0</v>
      </c>
    </row>
    <row r="159" customFormat="false" ht="15" hidden="false" customHeight="false" outlineLevel="0" collapsed="false">
      <c r="A159" s="5" t="s">
        <v>16</v>
      </c>
      <c r="B159" s="5" t="s">
        <v>28</v>
      </c>
      <c r="C159" s="5" t="s">
        <v>30</v>
      </c>
      <c r="D159" s="10" t="n">
        <v>60767</v>
      </c>
      <c r="E159" s="6" t="n">
        <f aca="false">SUMIFS(Tranzakciók!$E:$E,Tranzakciók!$B:$B,$A159,Tranzakciók!$C:$C,$B159,Tranzakciók!$D:$D,$C159)</f>
        <v>60767</v>
      </c>
      <c r="F159" s="6" t="n">
        <f aca="false">IF($B159="BEVÉTEL",E159-D159,D159-E159)</f>
        <v>0</v>
      </c>
    </row>
    <row r="160" customFormat="false" ht="15" hidden="false" customHeight="false" outlineLevel="0" collapsed="false">
      <c r="A160" s="5" t="s">
        <v>16</v>
      </c>
      <c r="B160" s="5" t="s">
        <v>31</v>
      </c>
      <c r="C160" s="5" t="s">
        <v>32</v>
      </c>
      <c r="D160" s="10" t="n">
        <v>90000</v>
      </c>
      <c r="E160" s="6" t="n">
        <f aca="false">SUMIFS(Tranzakciók!$E:$E,Tranzakciók!$B:$B,$A160,Tranzakciók!$C:$C,$B160,Tranzakciók!$D:$D,$C160)</f>
        <v>90000</v>
      </c>
      <c r="F160" s="6" t="n">
        <f aca="false">IF($B160="BEVÉTEL",E160-D160,D160-E160)</f>
        <v>0</v>
      </c>
    </row>
    <row r="161" customFormat="false" ht="15" hidden="false" customHeight="false" outlineLevel="0" collapsed="false">
      <c r="A161" s="5" t="s">
        <v>16</v>
      </c>
      <c r="B161" s="5" t="s">
        <v>31</v>
      </c>
      <c r="C161" s="5" t="s">
        <v>33</v>
      </c>
      <c r="D161" s="10" t="n">
        <v>14474</v>
      </c>
      <c r="E161" s="6" t="n">
        <f aca="false">SUMIFS(Tranzakciók!$E:$E,Tranzakciók!$B:$B,$A161,Tranzakciók!$C:$C,$B161,Tranzakciók!$D:$D,$C161)</f>
        <v>14474</v>
      </c>
      <c r="F161" s="6" t="n">
        <f aca="false">IF($B161="BEVÉTEL",E161-D161,D161-E161)</f>
        <v>0</v>
      </c>
    </row>
    <row r="162" customFormat="false" ht="15" hidden="false" customHeight="false" outlineLevel="0" collapsed="false">
      <c r="A162" s="5" t="s">
        <v>16</v>
      </c>
      <c r="B162" s="5" t="s">
        <v>31</v>
      </c>
      <c r="C162" s="5" t="s">
        <v>34</v>
      </c>
      <c r="D162" s="10" t="n">
        <v>14385</v>
      </c>
      <c r="E162" s="6" t="n">
        <f aca="false">SUMIFS(Tranzakciók!$E:$E,Tranzakciók!$B:$B,$A162,Tranzakciók!$C:$C,$B162,Tranzakciók!$D:$D,$C162)</f>
        <v>14385</v>
      </c>
      <c r="F162" s="6" t="n">
        <f aca="false">IF($B162="BEVÉTEL",E162-D162,D162-E162)</f>
        <v>0</v>
      </c>
    </row>
    <row r="163" customFormat="false" ht="15" hidden="false" customHeight="false" outlineLevel="0" collapsed="false">
      <c r="A163" s="5" t="s">
        <v>16</v>
      </c>
      <c r="B163" s="5" t="s">
        <v>31</v>
      </c>
      <c r="C163" s="5" t="s">
        <v>63</v>
      </c>
      <c r="D163" s="10" t="n">
        <v>4790</v>
      </c>
      <c r="E163" s="6" t="n">
        <f aca="false">SUMIFS(Tranzakciók!$E:$E,Tranzakciók!$B:$B,$A163,Tranzakciók!$C:$C,$B163,Tranzakciók!$D:$D,$C163)</f>
        <v>4790</v>
      </c>
      <c r="F163" s="6" t="n">
        <f aca="false">IF($B163="BEVÉTEL",E163-D163,D163-E163)</f>
        <v>0</v>
      </c>
    </row>
    <row r="164" customFormat="false" ht="15" hidden="false" customHeight="false" outlineLevel="0" collapsed="false">
      <c r="A164" s="5" t="s">
        <v>16</v>
      </c>
      <c r="B164" s="5" t="s">
        <v>31</v>
      </c>
      <c r="C164" s="5" t="s">
        <v>36</v>
      </c>
      <c r="D164" s="10" t="n">
        <v>1990</v>
      </c>
      <c r="E164" s="6" t="n">
        <f aca="false">SUMIFS(Tranzakciók!$E:$E,Tranzakciók!$B:$B,$A164,Tranzakciók!$C:$C,$B164,Tranzakciók!$D:$D,$C164)</f>
        <v>1990</v>
      </c>
      <c r="F164" s="6" t="n">
        <f aca="false">IF($B164="BEVÉTEL",E164-D164,D164-E164)</f>
        <v>0</v>
      </c>
    </row>
    <row r="165" customFormat="false" ht="15" hidden="false" customHeight="false" outlineLevel="0" collapsed="false">
      <c r="A165" s="5" t="s">
        <v>16</v>
      </c>
      <c r="B165" s="5" t="s">
        <v>31</v>
      </c>
      <c r="C165" s="5" t="s">
        <v>93</v>
      </c>
      <c r="D165" s="10" t="n">
        <v>2450</v>
      </c>
      <c r="E165" s="6" t="n">
        <f aca="false">SUMIFS(Tranzakciók!$E:$E,Tranzakciók!$B:$B,$A165,Tranzakciók!$C:$C,$B165,Tranzakciók!$D:$D,$C165)</f>
        <v>2450</v>
      </c>
      <c r="F165" s="6" t="n">
        <f aca="false">IF($B165="BEVÉTEL",E165-D165,D165-E165)</f>
        <v>0</v>
      </c>
    </row>
    <row r="166" customFormat="false" ht="15" hidden="false" customHeight="false" outlineLevel="0" collapsed="false">
      <c r="A166" s="5" t="s">
        <v>16</v>
      </c>
      <c r="B166" s="5" t="s">
        <v>39</v>
      </c>
      <c r="C166" s="5" t="s">
        <v>40</v>
      </c>
      <c r="D166" s="10" t="n">
        <v>0</v>
      </c>
      <c r="E166" s="6" t="n">
        <f aca="false">SUMIFS(Tranzakciók!$E:$E,Tranzakciók!$B:$B,$A166,Tranzakciók!$C:$C,$B166,Tranzakciók!$D:$D,$C166)</f>
        <v>0</v>
      </c>
      <c r="F166" s="6" t="n">
        <f aca="false">IF($B166="BEVÉTEL",E166-D166,D166-E166)</f>
        <v>0</v>
      </c>
    </row>
    <row r="167" customFormat="false" ht="15" hidden="false" customHeight="false" outlineLevel="0" collapsed="false">
      <c r="A167" s="5" t="s">
        <v>16</v>
      </c>
      <c r="B167" s="5" t="s">
        <v>39</v>
      </c>
      <c r="C167" s="5" t="s">
        <v>41</v>
      </c>
      <c r="D167" s="10" t="n">
        <v>5000</v>
      </c>
      <c r="E167" s="6" t="n">
        <f aca="false">SUMIFS(Tranzakciók!$E:$E,Tranzakciók!$B:$B,$A167,Tranzakciók!$C:$C,$B167,Tranzakciók!$D:$D,$C167)</f>
        <v>0</v>
      </c>
      <c r="F167" s="6" t="n">
        <f aca="false">IF($B167="BEVÉTEL",E167-D167,D167-E167)</f>
        <v>5000</v>
      </c>
    </row>
    <row r="168" customFormat="false" ht="15" hidden="false" customHeight="false" outlineLevel="0" collapsed="false">
      <c r="A168" s="5" t="s">
        <v>16</v>
      </c>
      <c r="B168" s="5" t="s">
        <v>42</v>
      </c>
      <c r="C168" s="5" t="s">
        <v>43</v>
      </c>
      <c r="D168" s="10" t="n">
        <v>70000</v>
      </c>
      <c r="E168" s="6" t="n">
        <f aca="false">SUMIFS(Tranzakciók!$E:$E,Tranzakciók!$B:$B,$A168,Tranzakciók!$C:$C,$B168,Tranzakciók!$D:$D,$C168)</f>
        <v>19725</v>
      </c>
      <c r="F168" s="6" t="n">
        <f aca="false">IF($B168="BEVÉTEL",E168-D168,D168-E168)</f>
        <v>50275</v>
      </c>
    </row>
    <row r="169" customFormat="false" ht="15" hidden="false" customHeight="false" outlineLevel="0" collapsed="false">
      <c r="A169" s="5" t="s">
        <v>16</v>
      </c>
      <c r="B169" s="5" t="s">
        <v>42</v>
      </c>
      <c r="C169" s="5" t="s">
        <v>44</v>
      </c>
      <c r="D169" s="10" t="n">
        <v>2500</v>
      </c>
      <c r="E169" s="6" t="n">
        <f aca="false">SUMIFS(Tranzakciók!$E:$E,Tranzakciók!$B:$B,$A169,Tranzakciók!$C:$C,$B169,Tranzakciók!$D:$D,$C169)</f>
        <v>0</v>
      </c>
      <c r="F169" s="6" t="n">
        <f aca="false">IF($B169="BEVÉTEL",E169-D169,D169-E169)</f>
        <v>2500</v>
      </c>
    </row>
    <row r="170" customFormat="false" ht="15" hidden="false" customHeight="false" outlineLevel="0" collapsed="false">
      <c r="A170" s="5" t="s">
        <v>16</v>
      </c>
      <c r="B170" s="5" t="s">
        <v>42</v>
      </c>
      <c r="C170" s="5" t="s">
        <v>45</v>
      </c>
      <c r="D170" s="10" t="n">
        <v>1500</v>
      </c>
      <c r="E170" s="6" t="n">
        <f aca="false">SUMIFS(Tranzakciók!$E:$E,Tranzakciók!$B:$B,$A170,Tranzakciók!$C:$C,$B170,Tranzakciók!$D:$D,$C170)</f>
        <v>0</v>
      </c>
      <c r="F170" s="6" t="n">
        <f aca="false">IF($B170="BEVÉTEL",E170-D170,D170-E170)</f>
        <v>1500</v>
      </c>
    </row>
    <row r="171" customFormat="false" ht="15" hidden="false" customHeight="false" outlineLevel="0" collapsed="false">
      <c r="A171" s="5" t="s">
        <v>16</v>
      </c>
      <c r="B171" s="5" t="s">
        <v>42</v>
      </c>
      <c r="C171" s="5" t="s">
        <v>46</v>
      </c>
      <c r="D171" s="10" t="n">
        <v>0</v>
      </c>
      <c r="E171" s="6" t="n">
        <f aca="false">SUMIFS(Tranzakciók!$E:$E,Tranzakciók!$B:$B,$A171,Tranzakciók!$C:$C,$B171,Tranzakciók!$D:$D,$C171)</f>
        <v>0</v>
      </c>
      <c r="F171" s="6" t="n">
        <f aca="false">IF($B171="BEVÉTEL",E171-D171,D171-E171)</f>
        <v>0</v>
      </c>
    </row>
    <row r="172" customFormat="false" ht="15" hidden="false" customHeight="false" outlineLevel="0" collapsed="false">
      <c r="A172" s="5" t="s">
        <v>16</v>
      </c>
      <c r="B172" s="5" t="s">
        <v>42</v>
      </c>
      <c r="C172" s="5" t="s">
        <v>47</v>
      </c>
      <c r="D172" s="10" t="n">
        <v>14500</v>
      </c>
      <c r="E172" s="6" t="n">
        <f aca="false">SUMIFS(Tranzakciók!$E:$E,Tranzakciók!$B:$B,$A172,Tranzakciók!$C:$C,$B172,Tranzakciók!$D:$D,$C172)</f>
        <v>14500</v>
      </c>
      <c r="F172" s="6" t="n">
        <f aca="false">IF($B172="BEVÉTEL",E172-D172,D172-E172)</f>
        <v>0</v>
      </c>
    </row>
    <row r="173" customFormat="false" ht="15" hidden="false" customHeight="false" outlineLevel="0" collapsed="false">
      <c r="A173" s="5" t="s">
        <v>16</v>
      </c>
      <c r="B173" s="5" t="s">
        <v>48</v>
      </c>
      <c r="C173" s="5" t="s">
        <v>83</v>
      </c>
      <c r="D173" s="10" t="n">
        <v>13900</v>
      </c>
      <c r="E173" s="6" t="n">
        <f aca="false">SUMIFS(Tranzakciók!$E:$E,Tranzakciók!$B:$B,$A173,Tranzakciók!$C:$C,$B173,Tranzakciók!$D:$D,$C173)</f>
        <v>13900</v>
      </c>
      <c r="F173" s="6" t="n">
        <f aca="false">IF($B173="BEVÉTEL",E173-D173,D173-E173)</f>
        <v>0</v>
      </c>
    </row>
    <row r="174" customFormat="false" ht="15" hidden="false" customHeight="false" outlineLevel="0" collapsed="false">
      <c r="A174" s="5" t="s">
        <v>16</v>
      </c>
      <c r="B174" s="5" t="s">
        <v>48</v>
      </c>
      <c r="C174" s="5" t="s">
        <v>50</v>
      </c>
      <c r="D174" s="10" t="n">
        <v>22000</v>
      </c>
      <c r="E174" s="6" t="n">
        <f aca="false">SUMIFS(Tranzakciók!$E:$E,Tranzakciók!$B:$B,$A174,Tranzakciók!$C:$C,$B174,Tranzakciók!$D:$D,$C174)</f>
        <v>22000</v>
      </c>
      <c r="F174" s="6" t="n">
        <f aca="false">IF($B174="BEVÉTEL",E174-D174,D174-E174)</f>
        <v>0</v>
      </c>
    </row>
    <row r="175" customFormat="false" ht="15" hidden="false" customHeight="false" outlineLevel="0" collapsed="false">
      <c r="A175" s="5" t="s">
        <v>16</v>
      </c>
      <c r="B175" s="5" t="s">
        <v>48</v>
      </c>
      <c r="C175" s="5" t="s">
        <v>52</v>
      </c>
      <c r="D175" s="10" t="n">
        <v>15000</v>
      </c>
      <c r="E175" s="6" t="n">
        <f aca="false">SUMIFS(Tranzakciók!$E:$E,Tranzakciók!$B:$B,$A175,Tranzakciók!$C:$C,$B175,Tranzakciók!$D:$D,$C175)</f>
        <v>4800</v>
      </c>
      <c r="F175" s="6" t="n">
        <f aca="false">IF($B175="BEVÉTEL",E175-D175,D175-E175)</f>
        <v>10200</v>
      </c>
    </row>
    <row r="176" customFormat="false" ht="15" hidden="false" customHeight="false" outlineLevel="0" collapsed="false">
      <c r="A176" s="5" t="s">
        <v>16</v>
      </c>
      <c r="B176" s="5" t="s">
        <v>53</v>
      </c>
      <c r="C176" s="5" t="s">
        <v>94</v>
      </c>
      <c r="D176" s="10" t="n">
        <v>43125</v>
      </c>
      <c r="E176" s="6" t="n">
        <f aca="false">SUMIFS(Tranzakciók!$E:$E,Tranzakciók!$B:$B,$A176,Tranzakciók!$C:$C,$B176,Tranzakciók!$D:$D,$C176)</f>
        <v>43125</v>
      </c>
      <c r="F176" s="6" t="n">
        <f aca="false">IF($B176="BEVÉTEL",E176-D176,D176-E176)</f>
        <v>0</v>
      </c>
    </row>
    <row r="177" customFormat="false" ht="15" hidden="false" customHeight="false" outlineLevel="0" collapsed="false">
      <c r="A177" s="5" t="s">
        <v>16</v>
      </c>
      <c r="B177" s="5" t="s">
        <v>53</v>
      </c>
      <c r="C177" s="5" t="s">
        <v>95</v>
      </c>
      <c r="D177" s="10" t="n">
        <v>42000</v>
      </c>
      <c r="E177" s="6" t="n">
        <f aca="false">SUMIFS(Tranzakciók!$E:$E,Tranzakciók!$B:$B,$A177,Tranzakciók!$C:$C,$B177,Tranzakciók!$D:$D,$C177)</f>
        <v>42000</v>
      </c>
      <c r="F177" s="6" t="n">
        <f aca="false">IF($B177="BEVÉTEL",E177-D177,D177-E177)</f>
        <v>0</v>
      </c>
    </row>
    <row r="178" customFormat="false" ht="15" hidden="false" customHeight="false" outlineLevel="0" collapsed="false">
      <c r="A178" s="5" t="s">
        <v>16</v>
      </c>
      <c r="B178" s="5" t="s">
        <v>53</v>
      </c>
      <c r="C178" s="5" t="s">
        <v>96</v>
      </c>
      <c r="D178" s="10" t="n">
        <v>38000</v>
      </c>
      <c r="E178" s="6" t="n">
        <f aca="false">SUMIFS(Tranzakciók!$E:$E,Tranzakciók!$B:$B,$A178,Tranzakciók!$C:$C,$B178,Tranzakciók!$D:$D,$C178)</f>
        <v>38000</v>
      </c>
      <c r="F178" s="6" t="n">
        <f aca="false">IF($B178="BEVÉTEL",E178-D178,D178-E178)</f>
        <v>0</v>
      </c>
    </row>
    <row r="179" customFormat="false" ht="15" hidden="false" customHeight="false" outlineLevel="0" collapsed="false">
      <c r="A179" s="5" t="s">
        <v>16</v>
      </c>
      <c r="B179" s="5" t="s">
        <v>53</v>
      </c>
      <c r="C179" s="5" t="s">
        <v>97</v>
      </c>
      <c r="D179" s="10" t="n">
        <v>16680</v>
      </c>
      <c r="E179" s="6" t="n">
        <f aca="false">SUMIFS(Tranzakciók!$E:$E,Tranzakciók!$B:$B,$A179,Tranzakciók!$C:$C,$B179,Tranzakciók!$D:$D,$C179)</f>
        <v>16680</v>
      </c>
      <c r="F179" s="6" t="n">
        <f aca="false">IF($B179="BEVÉTEL",E179-D179,D179-E179)</f>
        <v>0</v>
      </c>
    </row>
    <row r="180" customFormat="false" ht="15" hidden="false" customHeight="false" outlineLevel="0" collapsed="false">
      <c r="A180" s="5" t="s">
        <v>16</v>
      </c>
      <c r="B180" s="5" t="s">
        <v>53</v>
      </c>
      <c r="C180" s="5" t="s">
        <v>98</v>
      </c>
      <c r="D180" s="10" t="n">
        <v>40000</v>
      </c>
      <c r="E180" s="6" t="n">
        <f aca="false">SUMIFS(Tranzakciók!$E:$E,Tranzakciók!$B:$B,$A180,Tranzakciók!$C:$C,$B180,Tranzakciók!$D:$D,$C180)</f>
        <v>40000</v>
      </c>
      <c r="F180" s="6" t="n">
        <f aca="false">IF($B180="BEVÉTEL",E180-D180,D180-E180)</f>
        <v>0</v>
      </c>
    </row>
    <row r="181" customFormat="false" ht="15" hidden="false" customHeight="false" outlineLevel="0" collapsed="false">
      <c r="A181" s="5" t="s">
        <v>16</v>
      </c>
      <c r="B181" s="5" t="s">
        <v>60</v>
      </c>
      <c r="C181" s="5" t="s">
        <v>61</v>
      </c>
      <c r="D181" s="10" t="n">
        <v>0</v>
      </c>
      <c r="E181" s="6" t="n">
        <f aca="false">SUMIFS(Tranzakciók!$E:$E,Tranzakciók!$B:$B,$A181,Tranzakciók!$C:$C,$B181,Tranzakciók!$D:$D,$C181)</f>
        <v>0</v>
      </c>
      <c r="F181" s="6" t="n">
        <f aca="false">IF($B181="BEVÉTEL",E181-D181,D181-E181)</f>
        <v>0</v>
      </c>
    </row>
    <row r="182" customFormat="false" ht="15" hidden="false" customHeight="false" outlineLevel="0" collapsed="false">
      <c r="A182" s="5" t="s">
        <v>16</v>
      </c>
      <c r="B182" s="5" t="s">
        <v>60</v>
      </c>
      <c r="C182" s="5" t="s">
        <v>62</v>
      </c>
      <c r="D182" s="10" t="n">
        <v>2500</v>
      </c>
      <c r="E182" s="6" t="n">
        <f aca="false">SUMIFS(Tranzakciók!$E:$E,Tranzakciók!$B:$B,$A182,Tranzakciók!$C:$C,$B182,Tranzakciók!$D:$D,$C182)</f>
        <v>0</v>
      </c>
      <c r="F182" s="6" t="n">
        <f aca="false">IF($B182="BEVÉTEL",E182-D182,D182-E182)</f>
        <v>2500</v>
      </c>
    </row>
    <row r="183" customFormat="false" ht="15" hidden="false" customHeight="false" outlineLevel="0" collapsed="false">
      <c r="A183" s="5" t="s">
        <v>17</v>
      </c>
      <c r="B183" s="5" t="s">
        <v>28</v>
      </c>
      <c r="C183" s="5" t="s">
        <v>29</v>
      </c>
      <c r="D183" s="10" t="n">
        <v>497150</v>
      </c>
      <c r="E183" s="6" t="n">
        <f aca="false">SUMIFS(Tranzakciók!$E:$E,Tranzakciók!$B:$B,$A183,Tranzakciók!$C:$C,$B183,Tranzakciók!$D:$D,$C183)</f>
        <v>0</v>
      </c>
      <c r="F183" s="6" t="n">
        <f aca="false">IF($B183="BEVÉTEL",E183-D183,D183-E183)</f>
        <v>-497150</v>
      </c>
    </row>
    <row r="184" customFormat="false" ht="15" hidden="false" customHeight="false" outlineLevel="0" collapsed="false">
      <c r="A184" s="5" t="s">
        <v>17</v>
      </c>
      <c r="B184" s="5" t="s">
        <v>28</v>
      </c>
      <c r="C184" s="5" t="s">
        <v>30</v>
      </c>
      <c r="D184" s="10" t="n">
        <v>44010</v>
      </c>
      <c r="E184" s="6" t="n">
        <f aca="false">SUMIFS(Tranzakciók!$E:$E,Tranzakciók!$B:$B,$A184,Tranzakciók!$C:$C,$B184,Tranzakciók!$D:$D,$C184)</f>
        <v>0</v>
      </c>
      <c r="F184" s="6" t="n">
        <f aca="false">IF($B184="BEVÉTEL",E184-D184,D184-E184)</f>
        <v>-44010</v>
      </c>
    </row>
    <row r="185" customFormat="false" ht="15" hidden="false" customHeight="false" outlineLevel="0" collapsed="false">
      <c r="A185" s="5" t="s">
        <v>17</v>
      </c>
      <c r="B185" s="5" t="s">
        <v>31</v>
      </c>
      <c r="C185" s="5" t="s">
        <v>32</v>
      </c>
      <c r="D185" s="10" t="n">
        <v>90000</v>
      </c>
      <c r="E185" s="6" t="n">
        <f aca="false">SUMIFS(Tranzakciók!$E:$E,Tranzakciók!$B:$B,$A185,Tranzakciók!$C:$C,$B185,Tranzakciók!$D:$D,$C185)</f>
        <v>90000</v>
      </c>
      <c r="F185" s="6" t="n">
        <f aca="false">IF($B185="BEVÉTEL",E185-D185,D185-E185)</f>
        <v>0</v>
      </c>
    </row>
    <row r="186" customFormat="false" ht="15" hidden="false" customHeight="false" outlineLevel="0" collapsed="false">
      <c r="A186" s="5" t="s">
        <v>17</v>
      </c>
      <c r="B186" s="5" t="s">
        <v>31</v>
      </c>
      <c r="C186" s="5" t="s">
        <v>33</v>
      </c>
      <c r="D186" s="10" t="n">
        <v>15651</v>
      </c>
      <c r="E186" s="6" t="n">
        <f aca="false">SUMIFS(Tranzakciók!$E:$E,Tranzakciók!$B:$B,$A186,Tranzakciók!$C:$C,$B186,Tranzakciók!$D:$D,$C186)</f>
        <v>15651</v>
      </c>
      <c r="F186" s="6" t="n">
        <f aca="false">IF($B186="BEVÉTEL",E186-D186,D186-E186)</f>
        <v>0</v>
      </c>
    </row>
    <row r="187" customFormat="false" ht="15" hidden="false" customHeight="false" outlineLevel="0" collapsed="false">
      <c r="A187" s="5" t="s">
        <v>17</v>
      </c>
      <c r="B187" s="5" t="s">
        <v>31</v>
      </c>
      <c r="C187" s="5" t="s">
        <v>34</v>
      </c>
      <c r="D187" s="10" t="n">
        <v>15050</v>
      </c>
      <c r="E187" s="6" t="n">
        <f aca="false">SUMIFS(Tranzakciók!$E:$E,Tranzakciók!$B:$B,$A187,Tranzakciók!$C:$C,$B187,Tranzakciók!$D:$D,$C187)</f>
        <v>15050</v>
      </c>
      <c r="F187" s="6" t="n">
        <f aca="false">IF($B187="BEVÉTEL",E187-D187,D187-E187)</f>
        <v>0</v>
      </c>
    </row>
    <row r="188" customFormat="false" ht="15" hidden="false" customHeight="false" outlineLevel="0" collapsed="false">
      <c r="A188" s="5" t="s">
        <v>17</v>
      </c>
      <c r="B188" s="5" t="s">
        <v>99</v>
      </c>
      <c r="C188" s="5" t="s">
        <v>100</v>
      </c>
      <c r="D188" s="10" t="n">
        <v>2990</v>
      </c>
      <c r="E188" s="6" t="n">
        <f aca="false">SUMIFS(Tranzakciók!$E:$E,Tranzakciók!$B:$B,$A188,Tranzakciók!$C:$C,$B188,Tranzakciók!$D:$D,$C188)</f>
        <v>0</v>
      </c>
      <c r="F188" s="6" t="n">
        <f aca="false">IF($B188="BEVÉTEL",E188-D188,D188-E188)</f>
        <v>2990</v>
      </c>
    </row>
    <row r="189" customFormat="false" ht="15" hidden="false" customHeight="false" outlineLevel="0" collapsed="false">
      <c r="A189" s="5" t="s">
        <v>17</v>
      </c>
      <c r="B189" s="5" t="s">
        <v>99</v>
      </c>
      <c r="C189" s="5" t="s">
        <v>101</v>
      </c>
      <c r="D189" s="10" t="n">
        <v>1890</v>
      </c>
      <c r="E189" s="6" t="n">
        <f aca="false">SUMIFS(Tranzakciók!$E:$E,Tranzakciók!$B:$B,$A189,Tranzakciók!$C:$C,$B189,Tranzakciók!$D:$D,$C189)</f>
        <v>1890</v>
      </c>
      <c r="F189" s="6" t="n">
        <f aca="false">IF($B189="BEVÉTEL",E189-D189,D189-E189)</f>
        <v>0</v>
      </c>
    </row>
    <row r="190" customFormat="false" ht="15" hidden="false" customHeight="false" outlineLevel="0" collapsed="false">
      <c r="A190" s="5" t="s">
        <v>17</v>
      </c>
      <c r="B190" s="5" t="s">
        <v>99</v>
      </c>
      <c r="C190" s="5" t="s">
        <v>102</v>
      </c>
      <c r="D190" s="10" t="n">
        <v>4790</v>
      </c>
      <c r="E190" s="6" t="n">
        <f aca="false">SUMIFS(Tranzakciók!$E:$E,Tranzakciók!$B:$B,$A190,Tranzakciók!$C:$C,$B190,Tranzakciók!$D:$D,$C190)</f>
        <v>0</v>
      </c>
      <c r="F190" s="6" t="n">
        <f aca="false">IF($B190="BEVÉTEL",E190-D190,D190-E190)</f>
        <v>4790</v>
      </c>
    </row>
    <row r="191" customFormat="false" ht="15" hidden="false" customHeight="false" outlineLevel="0" collapsed="false">
      <c r="A191" s="5" t="s">
        <v>17</v>
      </c>
      <c r="B191" s="5" t="s">
        <v>99</v>
      </c>
      <c r="C191" s="5" t="s">
        <v>36</v>
      </c>
      <c r="D191" s="10" t="n">
        <v>2190</v>
      </c>
      <c r="E191" s="6" t="n">
        <f aca="false">SUMIFS(Tranzakciók!$E:$E,Tranzakciók!$B:$B,$A191,Tranzakciók!$C:$C,$B191,Tranzakciók!$D:$D,$C191)</f>
        <v>0</v>
      </c>
      <c r="F191" s="6" t="n">
        <f aca="false">IF($B191="BEVÉTEL",E191-D191,D191-E191)</f>
        <v>2190</v>
      </c>
    </row>
    <row r="192" customFormat="false" ht="15" hidden="false" customHeight="false" outlineLevel="0" collapsed="false">
      <c r="A192" s="5" t="s">
        <v>17</v>
      </c>
      <c r="B192" s="5" t="s">
        <v>99</v>
      </c>
      <c r="C192" s="5" t="s">
        <v>103</v>
      </c>
      <c r="D192" s="10" t="n">
        <v>8256</v>
      </c>
      <c r="E192" s="6" t="n">
        <f aca="false">SUMIFS(Tranzakciók!$E:$E,Tranzakciók!$B:$B,$A192,Tranzakciók!$C:$C,$B192,Tranzakciók!$D:$D,$C192)</f>
        <v>8256</v>
      </c>
      <c r="F192" s="6" t="n">
        <f aca="false">IF($B192="BEVÉTEL",E192-D192,D192-E192)</f>
        <v>0</v>
      </c>
    </row>
    <row r="193" customFormat="false" ht="15" hidden="false" customHeight="false" outlineLevel="0" collapsed="false">
      <c r="A193" s="5" t="s">
        <v>17</v>
      </c>
      <c r="B193" s="5" t="s">
        <v>99</v>
      </c>
      <c r="C193" s="5" t="s">
        <v>93</v>
      </c>
      <c r="D193" s="10" t="n">
        <v>2450</v>
      </c>
      <c r="E193" s="6" t="n">
        <f aca="false">SUMIFS(Tranzakciók!$E:$E,Tranzakciók!$B:$B,$A193,Tranzakciók!$C:$C,$B193,Tranzakciók!$D:$D,$C193)</f>
        <v>2450</v>
      </c>
      <c r="F193" s="6" t="n">
        <f aca="false">IF($B193="BEVÉTEL",E193-D193,D193-E193)</f>
        <v>0</v>
      </c>
    </row>
    <row r="194" customFormat="false" ht="15" hidden="false" customHeight="false" outlineLevel="0" collapsed="false">
      <c r="A194" s="5" t="s">
        <v>17</v>
      </c>
      <c r="B194" s="5" t="s">
        <v>42</v>
      </c>
      <c r="C194" s="5" t="s">
        <v>43</v>
      </c>
      <c r="D194" s="10" t="n">
        <v>100000</v>
      </c>
      <c r="E194" s="6" t="n">
        <f aca="false">SUMIFS(Tranzakciók!$E:$E,Tranzakciók!$B:$B,$A194,Tranzakciók!$C:$C,$B194,Tranzakciók!$D:$D,$C194)</f>
        <v>0</v>
      </c>
      <c r="F194" s="6" t="n">
        <f aca="false">IF($B194="BEVÉTEL",E194-D194,D194-E194)</f>
        <v>100000</v>
      </c>
    </row>
    <row r="195" customFormat="false" ht="15" hidden="false" customHeight="false" outlineLevel="0" collapsed="false">
      <c r="A195" s="5" t="s">
        <v>17</v>
      </c>
      <c r="B195" s="5" t="s">
        <v>42</v>
      </c>
      <c r="C195" s="5" t="s">
        <v>104</v>
      </c>
      <c r="D195" s="10" t="n">
        <v>20000</v>
      </c>
      <c r="E195" s="6" t="n">
        <f aca="false">SUMIFS(Tranzakciók!$E:$E,Tranzakciók!$B:$B,$A195,Tranzakciók!$C:$C,$B195,Tranzakciók!$D:$D,$C195)</f>
        <v>0</v>
      </c>
      <c r="F195" s="6" t="n">
        <f aca="false">IF($B195="BEVÉTEL",E195-D195,D195-E195)</f>
        <v>20000</v>
      </c>
    </row>
    <row r="196" customFormat="false" ht="15" hidden="false" customHeight="false" outlineLevel="0" collapsed="false">
      <c r="A196" s="5" t="s">
        <v>17</v>
      </c>
      <c r="B196" s="5" t="s">
        <v>42</v>
      </c>
      <c r="C196" s="5" t="s">
        <v>44</v>
      </c>
      <c r="D196" s="10" t="n">
        <v>0</v>
      </c>
      <c r="E196" s="6" t="n">
        <f aca="false">SUMIFS(Tranzakciók!$E:$E,Tranzakciók!$B:$B,$A196,Tranzakciók!$C:$C,$B196,Tranzakciók!$D:$D,$C196)</f>
        <v>0</v>
      </c>
      <c r="F196" s="6" t="n">
        <f aca="false">IF($B196="BEVÉTEL",E196-D196,D196-E196)</f>
        <v>0</v>
      </c>
    </row>
    <row r="197" customFormat="false" ht="15" hidden="false" customHeight="false" outlineLevel="0" collapsed="false">
      <c r="A197" s="5" t="s">
        <v>17</v>
      </c>
      <c r="B197" s="5" t="s">
        <v>42</v>
      </c>
      <c r="C197" s="5" t="s">
        <v>41</v>
      </c>
      <c r="D197" s="10" t="n">
        <v>6000</v>
      </c>
      <c r="E197" s="6" t="n">
        <f aca="false">SUMIFS(Tranzakciók!$E:$E,Tranzakciók!$B:$B,$A197,Tranzakciók!$C:$C,$B197,Tranzakciók!$D:$D,$C197)</f>
        <v>0</v>
      </c>
      <c r="F197" s="6" t="n">
        <f aca="false">IF($B197="BEVÉTEL",E197-D197,D197-E197)</f>
        <v>6000</v>
      </c>
    </row>
    <row r="198" customFormat="false" ht="15" hidden="false" customHeight="false" outlineLevel="0" collapsed="false">
      <c r="A198" s="5" t="s">
        <v>17</v>
      </c>
      <c r="B198" s="5" t="s">
        <v>42</v>
      </c>
      <c r="C198" s="5" t="s">
        <v>46</v>
      </c>
      <c r="D198" s="10" t="n">
        <v>0</v>
      </c>
      <c r="E198" s="6" t="n">
        <f aca="false">SUMIFS(Tranzakciók!$E:$E,Tranzakciók!$B:$B,$A198,Tranzakciók!$C:$C,$B198,Tranzakciók!$D:$D,$C198)</f>
        <v>0</v>
      </c>
      <c r="F198" s="6" t="n">
        <f aca="false">IF($B198="BEVÉTEL",E198-D198,D198-E198)</f>
        <v>0</v>
      </c>
    </row>
    <row r="199" customFormat="false" ht="15" hidden="false" customHeight="false" outlineLevel="0" collapsed="false">
      <c r="A199" s="5" t="s">
        <v>17</v>
      </c>
      <c r="B199" s="5" t="s">
        <v>42</v>
      </c>
      <c r="C199" s="5" t="s">
        <v>47</v>
      </c>
      <c r="D199" s="10" t="n">
        <v>0</v>
      </c>
      <c r="E199" s="6" t="n">
        <f aca="false">SUMIFS(Tranzakciók!$E:$E,Tranzakciók!$B:$B,$A199,Tranzakciók!$C:$C,$B199,Tranzakciók!$D:$D,$C199)</f>
        <v>0</v>
      </c>
      <c r="F199" s="6" t="n">
        <f aca="false">IF($B199="BEVÉTEL",E199-D199,D199-E199)</f>
        <v>0</v>
      </c>
    </row>
    <row r="200" customFormat="false" ht="15" hidden="false" customHeight="false" outlineLevel="0" collapsed="false">
      <c r="A200" s="5" t="s">
        <v>17</v>
      </c>
      <c r="B200" s="5" t="s">
        <v>48</v>
      </c>
      <c r="C200" s="5" t="s">
        <v>83</v>
      </c>
      <c r="D200" s="10" t="n">
        <v>13900</v>
      </c>
      <c r="E200" s="6" t="n">
        <f aca="false">SUMIFS(Tranzakciók!$E:$E,Tranzakciók!$B:$B,$A200,Tranzakciók!$C:$C,$B200,Tranzakciók!$D:$D,$C200)</f>
        <v>13900</v>
      </c>
      <c r="F200" s="6" t="n">
        <f aca="false">IF($B200="BEVÉTEL",E200-D200,D200-E200)</f>
        <v>0</v>
      </c>
    </row>
    <row r="201" customFormat="false" ht="15" hidden="false" customHeight="false" outlineLevel="0" collapsed="false">
      <c r="A201" s="5" t="s">
        <v>17</v>
      </c>
      <c r="B201" s="5" t="s">
        <v>48</v>
      </c>
      <c r="C201" s="5" t="s">
        <v>52</v>
      </c>
      <c r="D201" s="10" t="n">
        <v>5600</v>
      </c>
      <c r="E201" s="6" t="n">
        <f aca="false">SUMIFS(Tranzakciók!$E:$E,Tranzakciók!$B:$B,$A201,Tranzakciók!$C:$C,$B201,Tranzakciók!$D:$D,$C201)</f>
        <v>2800</v>
      </c>
      <c r="F201" s="6" t="n">
        <f aca="false">IF($B201="BEVÉTEL",E201-D201,D201-E201)</f>
        <v>2800</v>
      </c>
    </row>
    <row r="202" customFormat="false" ht="15" hidden="false" customHeight="false" outlineLevel="0" collapsed="false">
      <c r="A202" s="5" t="s">
        <v>17</v>
      </c>
      <c r="B202" s="5" t="s">
        <v>53</v>
      </c>
      <c r="C202" s="5" t="s">
        <v>105</v>
      </c>
      <c r="D202" s="10" t="n">
        <v>70000</v>
      </c>
      <c r="E202" s="6" t="n">
        <f aca="false">SUMIFS(Tranzakciók!$E:$E,Tranzakciók!$B:$B,$A202,Tranzakciók!$C:$C,$B202,Tranzakciók!$D:$D,$C202)</f>
        <v>0</v>
      </c>
      <c r="F202" s="6" t="n">
        <f aca="false">IF($B202="BEVÉTEL",E202-D202,D202-E202)</f>
        <v>70000</v>
      </c>
    </row>
    <row r="203" customFormat="false" ht="15" hidden="false" customHeight="false" outlineLevel="0" collapsed="false">
      <c r="A203" s="5" t="s">
        <v>17</v>
      </c>
      <c r="B203" s="5" t="s">
        <v>53</v>
      </c>
      <c r="C203" s="5" t="s">
        <v>106</v>
      </c>
      <c r="D203" s="10" t="n">
        <v>59000</v>
      </c>
      <c r="E203" s="6" t="n">
        <f aca="false">SUMIFS(Tranzakciók!$E:$E,Tranzakciók!$B:$B,$A203,Tranzakciók!$C:$C,$B203,Tranzakciók!$D:$D,$C203)</f>
        <v>59000</v>
      </c>
      <c r="F203" s="6" t="n">
        <f aca="false">IF($B203="BEVÉTEL",E203-D203,D203-E203)</f>
        <v>0</v>
      </c>
    </row>
    <row r="204" customFormat="false" ht="15" hidden="false" customHeight="false" outlineLevel="0" collapsed="false">
      <c r="A204" s="5" t="s">
        <v>17</v>
      </c>
      <c r="B204" s="5" t="s">
        <v>53</v>
      </c>
      <c r="C204" s="5" t="s">
        <v>91</v>
      </c>
      <c r="D204" s="10" t="n">
        <v>12000</v>
      </c>
      <c r="E204" s="6" t="n">
        <f aca="false">SUMIFS(Tranzakciók!$E:$E,Tranzakciók!$B:$B,$A204,Tranzakciók!$C:$C,$B204,Tranzakciók!$D:$D,$C204)</f>
        <v>12000</v>
      </c>
      <c r="F204" s="6" t="n">
        <f aca="false">IF($B204="BEVÉTEL",E204-D204,D204-E204)</f>
        <v>0</v>
      </c>
    </row>
    <row r="205" customFormat="false" ht="15" hidden="false" customHeight="false" outlineLevel="0" collapsed="false">
      <c r="A205" s="5" t="s">
        <v>17</v>
      </c>
      <c r="B205" s="5" t="s">
        <v>53</v>
      </c>
      <c r="C205" s="5" t="s">
        <v>107</v>
      </c>
      <c r="D205" s="10" t="n">
        <v>50000</v>
      </c>
      <c r="E205" s="6" t="n">
        <f aca="false">SUMIFS(Tranzakciók!$E:$E,Tranzakciók!$B:$B,$A205,Tranzakciók!$C:$C,$B205,Tranzakciók!$D:$D,$C205)</f>
        <v>50000</v>
      </c>
      <c r="F205" s="6" t="n">
        <f aca="false">IF($B205="BEVÉTEL",E205-D205,D205-E205)</f>
        <v>0</v>
      </c>
    </row>
    <row r="206" customFormat="false" ht="15" hidden="false" customHeight="false" outlineLevel="0" collapsed="false">
      <c r="A206" s="5" t="s">
        <v>17</v>
      </c>
      <c r="B206" s="5" t="s">
        <v>53</v>
      </c>
      <c r="C206" s="5" t="s">
        <v>108</v>
      </c>
      <c r="D206" s="10" t="n">
        <v>45000</v>
      </c>
      <c r="E206" s="6" t="n">
        <f aca="false">SUMIFS(Tranzakciók!$E:$E,Tranzakciók!$B:$B,$A206,Tranzakciók!$C:$C,$B206,Tranzakciók!$D:$D,$C206)</f>
        <v>45000</v>
      </c>
      <c r="F206" s="6" t="n">
        <f aca="false">IF($B206="BEVÉTEL",E206-D206,D206-E206)</f>
        <v>0</v>
      </c>
    </row>
    <row r="207" customFormat="false" ht="15" hidden="false" customHeight="false" outlineLevel="0" collapsed="false">
      <c r="A207" s="5" t="s">
        <v>17</v>
      </c>
      <c r="B207" s="5" t="s">
        <v>60</v>
      </c>
      <c r="C207" s="5" t="s">
        <v>61</v>
      </c>
      <c r="D207" s="10" t="n">
        <v>0</v>
      </c>
      <c r="E207" s="6" t="n">
        <f aca="false">SUMIFS(Tranzakciók!$E:$E,Tranzakciók!$B:$B,$A207,Tranzakciók!$C:$C,$B207,Tranzakciók!$D:$D,$C207)</f>
        <v>0</v>
      </c>
      <c r="F207" s="6" t="n">
        <f aca="false">IF($B207="BEVÉTEL",E207-D207,D207-E207)</f>
        <v>0</v>
      </c>
    </row>
    <row r="208" customFormat="false" ht="15" hidden="false" customHeight="false" outlineLevel="0" collapsed="false">
      <c r="A208" s="5" t="s">
        <v>18</v>
      </c>
      <c r="B208" s="5" t="s">
        <v>28</v>
      </c>
      <c r="C208" s="5" t="s">
        <v>29</v>
      </c>
      <c r="D208" s="10" t="n">
        <v>497150</v>
      </c>
      <c r="E208" s="6" t="n">
        <f aca="false">SUMIFS(Tranzakciók!$E:$E,Tranzakciók!$B:$B,$A208,Tranzakciók!$C:$C,$B208,Tranzakciók!$D:$D,$C208)</f>
        <v>497150</v>
      </c>
      <c r="F208" s="6" t="n">
        <f aca="false">IF($B208="BEVÉTEL",E208-D208,D208-E208)</f>
        <v>0</v>
      </c>
    </row>
    <row r="209" customFormat="false" ht="15" hidden="false" customHeight="false" outlineLevel="0" collapsed="false">
      <c r="A209" s="5" t="s">
        <v>18</v>
      </c>
      <c r="B209" s="5" t="s">
        <v>28</v>
      </c>
      <c r="C209" s="5" t="s">
        <v>30</v>
      </c>
      <c r="D209" s="10" t="n">
        <v>80000</v>
      </c>
      <c r="E209" s="6" t="n">
        <f aca="false">SUMIFS(Tranzakciók!$E:$E,Tranzakciók!$B:$B,$A209,Tranzakciók!$C:$C,$B209,Tranzakciók!$D:$D,$C209)</f>
        <v>80000</v>
      </c>
      <c r="F209" s="6" t="n">
        <f aca="false">IF($B209="BEVÉTEL",E209-D209,D209-E209)</f>
        <v>0</v>
      </c>
    </row>
    <row r="210" customFormat="false" ht="15" hidden="false" customHeight="false" outlineLevel="0" collapsed="false">
      <c r="A210" s="5" t="s">
        <v>18</v>
      </c>
      <c r="B210" s="5" t="s">
        <v>31</v>
      </c>
      <c r="C210" s="5" t="s">
        <v>32</v>
      </c>
      <c r="D210" s="10" t="n">
        <v>90000</v>
      </c>
      <c r="E210" s="6" t="n">
        <f aca="false">SUMIFS(Tranzakciók!$E:$E,Tranzakciók!$B:$B,$A210,Tranzakciók!$C:$C,$B210,Tranzakciók!$D:$D,$C210)</f>
        <v>0</v>
      </c>
      <c r="F210" s="6" t="n">
        <f aca="false">IF($B210="BEVÉTEL",E210-D210,D210-E210)</f>
        <v>90000</v>
      </c>
    </row>
    <row r="211" customFormat="false" ht="15" hidden="false" customHeight="false" outlineLevel="0" collapsed="false">
      <c r="A211" s="5" t="s">
        <v>18</v>
      </c>
      <c r="B211" s="5" t="s">
        <v>31</v>
      </c>
      <c r="C211" s="5" t="s">
        <v>33</v>
      </c>
      <c r="D211" s="10" t="n">
        <v>20000</v>
      </c>
      <c r="E211" s="6" t="n">
        <f aca="false">SUMIFS(Tranzakciók!$E:$E,Tranzakciók!$B:$B,$A211,Tranzakciók!$C:$C,$B211,Tranzakciók!$D:$D,$C211)</f>
        <v>0</v>
      </c>
      <c r="F211" s="6" t="n">
        <f aca="false">IF($B211="BEVÉTEL",E211-D211,D211-E211)</f>
        <v>20000</v>
      </c>
    </row>
    <row r="212" customFormat="false" ht="15" hidden="false" customHeight="false" outlineLevel="0" collapsed="false">
      <c r="A212" s="5" t="s">
        <v>18</v>
      </c>
      <c r="B212" s="5" t="s">
        <v>31</v>
      </c>
      <c r="C212" s="5" t="s">
        <v>34</v>
      </c>
      <c r="D212" s="10" t="n">
        <v>15015</v>
      </c>
      <c r="E212" s="6" t="n">
        <f aca="false">SUMIFS(Tranzakciók!$E:$E,Tranzakciók!$B:$B,$A212,Tranzakciók!$C:$C,$B212,Tranzakciók!$D:$D,$C212)</f>
        <v>15015</v>
      </c>
      <c r="F212" s="6" t="n">
        <f aca="false">IF($B212="BEVÉTEL",E212-D212,D212-E212)</f>
        <v>0</v>
      </c>
    </row>
    <row r="213" customFormat="false" ht="15" hidden="false" customHeight="false" outlineLevel="0" collapsed="false">
      <c r="A213" s="5" t="s">
        <v>18</v>
      </c>
      <c r="B213" s="5" t="s">
        <v>99</v>
      </c>
      <c r="C213" s="5" t="s">
        <v>100</v>
      </c>
      <c r="D213" s="10" t="n">
        <v>2990</v>
      </c>
      <c r="E213" s="6" t="n">
        <f aca="false">SUMIFS(Tranzakciók!$E:$E,Tranzakciók!$B:$B,$A213,Tranzakciók!$C:$C,$B213,Tranzakciók!$D:$D,$C213)</f>
        <v>0</v>
      </c>
      <c r="F213" s="6" t="n">
        <f aca="false">IF($B213="BEVÉTEL",E213-D213,D213-E213)</f>
        <v>2990</v>
      </c>
    </row>
    <row r="214" customFormat="false" ht="15" hidden="false" customHeight="false" outlineLevel="0" collapsed="false">
      <c r="A214" s="5" t="s">
        <v>18</v>
      </c>
      <c r="B214" s="5" t="s">
        <v>99</v>
      </c>
      <c r="C214" s="5" t="s">
        <v>101</v>
      </c>
      <c r="D214" s="10" t="n">
        <v>1890</v>
      </c>
      <c r="E214" s="6" t="n">
        <f aca="false">SUMIFS(Tranzakciók!$E:$E,Tranzakciók!$B:$B,$A214,Tranzakciók!$C:$C,$B214,Tranzakciók!$D:$D,$C214)</f>
        <v>0</v>
      </c>
      <c r="F214" s="6" t="n">
        <f aca="false">IF($B214="BEVÉTEL",E214-D214,D214-E214)</f>
        <v>1890</v>
      </c>
    </row>
    <row r="215" customFormat="false" ht="15" hidden="false" customHeight="false" outlineLevel="0" collapsed="false">
      <c r="A215" s="5" t="s">
        <v>18</v>
      </c>
      <c r="B215" s="5" t="s">
        <v>99</v>
      </c>
      <c r="C215" s="5" t="s">
        <v>102</v>
      </c>
      <c r="D215" s="10" t="n">
        <v>5500</v>
      </c>
      <c r="E215" s="6" t="n">
        <f aca="false">SUMIFS(Tranzakciók!$E:$E,Tranzakciók!$B:$B,$A215,Tranzakciók!$C:$C,$B215,Tranzakciók!$D:$D,$C215)</f>
        <v>0</v>
      </c>
      <c r="F215" s="6" t="n">
        <f aca="false">IF($B215="BEVÉTEL",E215-D215,D215-E215)</f>
        <v>5500</v>
      </c>
    </row>
    <row r="216" customFormat="false" ht="15" hidden="false" customHeight="false" outlineLevel="0" collapsed="false">
      <c r="A216" s="5" t="s">
        <v>18</v>
      </c>
      <c r="B216" s="5" t="s">
        <v>99</v>
      </c>
      <c r="C216" s="5" t="s">
        <v>36</v>
      </c>
      <c r="D216" s="10" t="n">
        <v>2190</v>
      </c>
      <c r="E216" s="6" t="n">
        <f aca="false">SUMIFS(Tranzakciók!$E:$E,Tranzakciók!$B:$B,$A216,Tranzakciók!$C:$C,$B216,Tranzakciók!$D:$D,$C216)</f>
        <v>0</v>
      </c>
      <c r="F216" s="6" t="n">
        <f aca="false">IF($B216="BEVÉTEL",E216-D216,D216-E216)</f>
        <v>2190</v>
      </c>
    </row>
    <row r="217" customFormat="false" ht="15" hidden="false" customHeight="false" outlineLevel="0" collapsed="false">
      <c r="A217" s="5" t="s">
        <v>18</v>
      </c>
      <c r="B217" s="5" t="s">
        <v>99</v>
      </c>
      <c r="C217" s="5" t="s">
        <v>103</v>
      </c>
      <c r="D217" s="10" t="n">
        <v>8410</v>
      </c>
      <c r="E217" s="6" t="n">
        <f aca="false">SUMIFS(Tranzakciók!$E:$E,Tranzakciók!$B:$B,$A217,Tranzakciók!$C:$C,$B217,Tranzakciók!$D:$D,$C217)</f>
        <v>8410</v>
      </c>
      <c r="F217" s="6" t="n">
        <f aca="false">IF($B217="BEVÉTEL",E217-D217,D217-E217)</f>
        <v>0</v>
      </c>
    </row>
    <row r="218" customFormat="false" ht="15" hidden="false" customHeight="false" outlineLevel="0" collapsed="false">
      <c r="A218" s="5" t="s">
        <v>18</v>
      </c>
      <c r="B218" s="5" t="s">
        <v>99</v>
      </c>
      <c r="C218" s="5" t="s">
        <v>93</v>
      </c>
      <c r="D218" s="10" t="n">
        <v>2450</v>
      </c>
      <c r="E218" s="6" t="n">
        <f aca="false">SUMIFS(Tranzakciók!$E:$E,Tranzakciók!$B:$B,$A218,Tranzakciók!$C:$C,$B218,Tranzakciók!$D:$D,$C218)</f>
        <v>0</v>
      </c>
      <c r="F218" s="6" t="n">
        <f aca="false">IF($B218="BEVÉTEL",E218-D218,D218-E218)</f>
        <v>2450</v>
      </c>
    </row>
    <row r="219" customFormat="false" ht="15" hidden="false" customHeight="false" outlineLevel="0" collapsed="false">
      <c r="A219" s="5" t="s">
        <v>18</v>
      </c>
      <c r="B219" s="5" t="s">
        <v>99</v>
      </c>
      <c r="C219" s="5" t="s">
        <v>109</v>
      </c>
      <c r="D219" s="10" t="n">
        <v>2799</v>
      </c>
      <c r="E219" s="6" t="n">
        <f aca="false">SUMIFS(Tranzakciók!$E:$E,Tranzakciók!$B:$B,$A219,Tranzakciók!$C:$C,$B219,Tranzakciók!$D:$D,$C219)</f>
        <v>2799</v>
      </c>
      <c r="F219" s="6" t="n">
        <f aca="false">IF($B219="BEVÉTEL",E219-D219,D219-E219)</f>
        <v>0</v>
      </c>
    </row>
    <row r="220" customFormat="false" ht="15" hidden="false" customHeight="false" outlineLevel="0" collapsed="false">
      <c r="A220" s="5" t="s">
        <v>18</v>
      </c>
      <c r="B220" s="5" t="s">
        <v>42</v>
      </c>
      <c r="C220" s="5" t="s">
        <v>43</v>
      </c>
      <c r="D220" s="10" t="n">
        <v>60000</v>
      </c>
      <c r="E220" s="6" t="n">
        <f aca="false">SUMIFS(Tranzakciók!$E:$E,Tranzakciók!$B:$B,$A220,Tranzakciók!$C:$C,$B220,Tranzakciók!$D:$D,$C220)</f>
        <v>18712</v>
      </c>
      <c r="F220" s="6" t="n">
        <f aca="false">IF($B220="BEVÉTEL",E220-D220,D220-E220)</f>
        <v>41288</v>
      </c>
    </row>
    <row r="221" customFormat="false" ht="15" hidden="false" customHeight="false" outlineLevel="0" collapsed="false">
      <c r="A221" s="5" t="s">
        <v>18</v>
      </c>
      <c r="B221" s="5" t="s">
        <v>42</v>
      </c>
      <c r="C221" s="5" t="s">
        <v>104</v>
      </c>
      <c r="D221" s="10" t="n">
        <v>0</v>
      </c>
      <c r="E221" s="6" t="n">
        <f aca="false">SUMIFS(Tranzakciók!$E:$E,Tranzakciók!$B:$B,$A221,Tranzakciók!$C:$C,$B221,Tranzakciók!$D:$D,$C221)</f>
        <v>0</v>
      </c>
      <c r="F221" s="6" t="n">
        <f aca="false">IF($B221="BEVÉTEL",E221-D221,D221-E221)</f>
        <v>0</v>
      </c>
    </row>
    <row r="222" customFormat="false" ht="15" hidden="false" customHeight="false" outlineLevel="0" collapsed="false">
      <c r="A222" s="5" t="s">
        <v>18</v>
      </c>
      <c r="B222" s="5" t="s">
        <v>42</v>
      </c>
      <c r="C222" s="5" t="s">
        <v>44</v>
      </c>
      <c r="D222" s="10" t="n">
        <v>0</v>
      </c>
      <c r="E222" s="6" t="n">
        <f aca="false">SUMIFS(Tranzakciók!$E:$E,Tranzakciók!$B:$B,$A222,Tranzakciók!$C:$C,$B222,Tranzakciók!$D:$D,$C222)</f>
        <v>0</v>
      </c>
      <c r="F222" s="6" t="n">
        <f aca="false">IF($B222="BEVÉTEL",E222-D222,D222-E222)</f>
        <v>0</v>
      </c>
    </row>
    <row r="223" customFormat="false" ht="15" hidden="false" customHeight="false" outlineLevel="0" collapsed="false">
      <c r="A223" s="5" t="s">
        <v>18</v>
      </c>
      <c r="B223" s="5" t="s">
        <v>42</v>
      </c>
      <c r="C223" s="5" t="s">
        <v>41</v>
      </c>
      <c r="D223" s="10" t="n">
        <v>6000</v>
      </c>
      <c r="E223" s="6" t="n">
        <f aca="false">SUMIFS(Tranzakciók!$E:$E,Tranzakciók!$B:$B,$A223,Tranzakciók!$C:$C,$B223,Tranzakciók!$D:$D,$C223)</f>
        <v>0</v>
      </c>
      <c r="F223" s="6" t="n">
        <f aca="false">IF($B223="BEVÉTEL",E223-D223,D223-E223)</f>
        <v>6000</v>
      </c>
    </row>
    <row r="224" customFormat="false" ht="15" hidden="false" customHeight="false" outlineLevel="0" collapsed="false">
      <c r="A224" s="5" t="s">
        <v>18</v>
      </c>
      <c r="B224" s="5" t="s">
        <v>42</v>
      </c>
      <c r="C224" s="5" t="s">
        <v>46</v>
      </c>
      <c r="D224" s="10" t="n">
        <v>25000</v>
      </c>
      <c r="E224" s="6" t="n">
        <f aca="false">SUMIFS(Tranzakciók!$E:$E,Tranzakciók!$B:$B,$A224,Tranzakciók!$C:$C,$B224,Tranzakciók!$D:$D,$C224)</f>
        <v>25000</v>
      </c>
      <c r="F224" s="6" t="n">
        <f aca="false">IF($B224="BEVÉTEL",E224-D224,D224-E224)</f>
        <v>0</v>
      </c>
    </row>
    <row r="225" customFormat="false" ht="15" hidden="false" customHeight="false" outlineLevel="0" collapsed="false">
      <c r="A225" s="5" t="s">
        <v>18</v>
      </c>
      <c r="B225" s="5" t="s">
        <v>42</v>
      </c>
      <c r="C225" s="5" t="s">
        <v>47</v>
      </c>
      <c r="D225" s="10" t="n">
        <v>14500</v>
      </c>
      <c r="E225" s="6" t="n">
        <f aca="false">SUMIFS(Tranzakciók!$E:$E,Tranzakciók!$B:$B,$A225,Tranzakciók!$C:$C,$B225,Tranzakciók!$D:$D,$C225)</f>
        <v>0</v>
      </c>
      <c r="F225" s="6" t="n">
        <f aca="false">IF($B225="BEVÉTEL",E225-D225,D225-E225)</f>
        <v>14500</v>
      </c>
    </row>
    <row r="226" customFormat="false" ht="15" hidden="false" customHeight="false" outlineLevel="0" collapsed="false">
      <c r="A226" s="5" t="s">
        <v>18</v>
      </c>
      <c r="B226" s="5" t="s">
        <v>48</v>
      </c>
      <c r="C226" s="5" t="s">
        <v>83</v>
      </c>
      <c r="D226" s="10" t="n">
        <v>13900</v>
      </c>
      <c r="E226" s="6" t="n">
        <f aca="false">SUMIFS(Tranzakciók!$E:$E,Tranzakciók!$B:$B,$A226,Tranzakciók!$C:$C,$B226,Tranzakciók!$D:$D,$C226)</f>
        <v>0</v>
      </c>
      <c r="F226" s="6" t="n">
        <f aca="false">IF($B226="BEVÉTEL",E226-D226,D226-E226)</f>
        <v>13900</v>
      </c>
    </row>
    <row r="227" customFormat="false" ht="15" hidden="false" customHeight="false" outlineLevel="0" collapsed="false">
      <c r="A227" s="5" t="s">
        <v>18</v>
      </c>
      <c r="B227" s="5" t="s">
        <v>48</v>
      </c>
      <c r="C227" s="5" t="s">
        <v>110</v>
      </c>
      <c r="D227" s="10" t="n">
        <v>30000</v>
      </c>
      <c r="E227" s="6" t="n">
        <f aca="false">SUMIFS(Tranzakciók!$E:$E,Tranzakciók!$B:$B,$A227,Tranzakciók!$C:$C,$B227,Tranzakciók!$D:$D,$C227)</f>
        <v>0</v>
      </c>
      <c r="F227" s="6" t="n">
        <f aca="false">IF($B227="BEVÉTEL",E227-D227,D227-E227)</f>
        <v>30000</v>
      </c>
    </row>
    <row r="228" customFormat="false" ht="15" hidden="false" customHeight="false" outlineLevel="0" collapsed="false">
      <c r="A228" s="5" t="s">
        <v>18</v>
      </c>
      <c r="B228" s="5" t="s">
        <v>48</v>
      </c>
      <c r="C228" s="5" t="s">
        <v>52</v>
      </c>
      <c r="D228" s="10" t="n">
        <v>5600</v>
      </c>
      <c r="E228" s="6" t="n">
        <f aca="false">SUMIFS(Tranzakciók!$E:$E,Tranzakciók!$B:$B,$A228,Tranzakciók!$C:$C,$B228,Tranzakciók!$D:$D,$C228)</f>
        <v>0</v>
      </c>
      <c r="F228" s="6" t="n">
        <f aca="false">IF($B228="BEVÉTEL",E228-D228,D228-E228)</f>
        <v>5600</v>
      </c>
    </row>
    <row r="229" customFormat="false" ht="15" hidden="false" customHeight="false" outlineLevel="0" collapsed="false">
      <c r="A229" s="5" t="s">
        <v>18</v>
      </c>
      <c r="B229" s="5" t="s">
        <v>53</v>
      </c>
      <c r="C229" s="5" t="s">
        <v>111</v>
      </c>
      <c r="D229" s="10" t="n">
        <v>12000</v>
      </c>
      <c r="E229" s="6" t="n">
        <f aca="false">SUMIFS(Tranzakciók!$E:$E,Tranzakciók!$B:$B,$A229,Tranzakciók!$C:$C,$B229,Tranzakciók!$D:$D,$C229)</f>
        <v>0</v>
      </c>
      <c r="F229" s="6" t="n">
        <f aca="false">IF($B229="BEVÉTEL",E229-D229,D229-E229)</f>
        <v>12000</v>
      </c>
    </row>
    <row r="230" customFormat="false" ht="15" hidden="false" customHeight="false" outlineLevel="0" collapsed="false">
      <c r="A230" s="5" t="s">
        <v>18</v>
      </c>
      <c r="B230" s="5" t="s">
        <v>53</v>
      </c>
      <c r="C230" s="5" t="s">
        <v>107</v>
      </c>
      <c r="D230" s="10" t="n">
        <v>135000</v>
      </c>
      <c r="E230" s="6" t="n">
        <f aca="false">SUMIFS(Tranzakciók!$E:$E,Tranzakciók!$B:$B,$A230,Tranzakciók!$C:$C,$B230,Tranzakciók!$D:$D,$C230)</f>
        <v>65000</v>
      </c>
      <c r="F230" s="6" t="n">
        <f aca="false">IF($B230="BEVÉTEL",E230-D230,D230-E230)</f>
        <v>70000</v>
      </c>
    </row>
    <row r="231" customFormat="false" ht="15" hidden="false" customHeight="false" outlineLevel="0" collapsed="false">
      <c r="A231" s="5" t="s">
        <v>18</v>
      </c>
      <c r="B231" s="5" t="s">
        <v>53</v>
      </c>
      <c r="C231" s="5" t="s">
        <v>112</v>
      </c>
      <c r="D231" s="10" t="n">
        <v>55626</v>
      </c>
      <c r="E231" s="6" t="n">
        <f aca="false">SUMIFS(Tranzakciók!$E:$E,Tranzakciók!$B:$B,$A231,Tranzakciók!$C:$C,$B231,Tranzakciók!$D:$D,$C231)</f>
        <v>0</v>
      </c>
      <c r="F231" s="6" t="n">
        <f aca="false">IF($B231="BEVÉTEL",E231-D231,D231-E231)</f>
        <v>55626</v>
      </c>
    </row>
    <row r="232" customFormat="false" ht="15" hidden="false" customHeight="false" outlineLevel="0" collapsed="false">
      <c r="A232" s="5" t="s">
        <v>18</v>
      </c>
      <c r="B232" s="5" t="s">
        <v>53</v>
      </c>
      <c r="C232" s="5" t="s">
        <v>113</v>
      </c>
      <c r="D232" s="10" t="n">
        <v>20000</v>
      </c>
      <c r="E232" s="6" t="n">
        <f aca="false">SUMIFS(Tranzakciók!$E:$E,Tranzakciók!$B:$B,$A232,Tranzakciók!$C:$C,$B232,Tranzakciók!$D:$D,$C232)</f>
        <v>0</v>
      </c>
      <c r="F232" s="6" t="n">
        <f aca="false">IF($B232="BEVÉTEL",E232-D232,D232-E232)</f>
        <v>20000</v>
      </c>
    </row>
    <row r="233" customFormat="false" ht="15" hidden="false" customHeight="false" outlineLevel="0" collapsed="false">
      <c r="A233" s="5" t="s">
        <v>18</v>
      </c>
      <c r="B233" s="5" t="s">
        <v>60</v>
      </c>
      <c r="C233" s="5" t="s">
        <v>114</v>
      </c>
      <c r="D233" s="10" t="n">
        <v>20120</v>
      </c>
      <c r="E233" s="6" t="n">
        <f aca="false">SUMIFS(Tranzakciók!$E:$E,Tranzakciók!$B:$B,$A233,Tranzakciók!$C:$C,$B233,Tranzakciók!$D:$D,$C233)</f>
        <v>0</v>
      </c>
      <c r="F233" s="6" t="n">
        <f aca="false">IF($B233="BEVÉTEL",E233-D233,D233-E233)</f>
        <v>20120</v>
      </c>
    </row>
    <row r="234" customFormat="false" ht="15" hidden="false" customHeight="false" outlineLevel="0" collapsed="false">
      <c r="A234" s="5" t="s">
        <v>19</v>
      </c>
      <c r="B234" s="5" t="s">
        <v>28</v>
      </c>
      <c r="C234" s="5" t="s">
        <v>29</v>
      </c>
      <c r="D234" s="10" t="n">
        <v>497150</v>
      </c>
      <c r="E234" s="6" t="n">
        <f aca="false">SUMIFS(Tranzakciók!$E:$E,Tranzakciók!$B:$B,$A234,Tranzakciók!$C:$C,$B234,Tranzakciók!$D:$D,$C234)</f>
        <v>0</v>
      </c>
      <c r="F234" s="6" t="n">
        <f aca="false">IF($B234="BEVÉTEL",E234-D234,D234-E234)</f>
        <v>-497150</v>
      </c>
    </row>
    <row r="235" customFormat="false" ht="15" hidden="false" customHeight="false" outlineLevel="0" collapsed="false">
      <c r="A235" s="5" t="s">
        <v>19</v>
      </c>
      <c r="B235" s="5" t="s">
        <v>28</v>
      </c>
      <c r="C235" s="5" t="s">
        <v>30</v>
      </c>
      <c r="D235" s="10" t="n">
        <v>44010</v>
      </c>
      <c r="E235" s="6" t="n">
        <f aca="false">SUMIFS(Tranzakciók!$E:$E,Tranzakciók!$B:$B,$A235,Tranzakciók!$C:$C,$B235,Tranzakciók!$D:$D,$C235)</f>
        <v>0</v>
      </c>
      <c r="F235" s="6" t="n">
        <f aca="false">IF($B235="BEVÉTEL",E235-D235,D235-E235)</f>
        <v>-44010</v>
      </c>
    </row>
    <row r="236" customFormat="false" ht="15" hidden="false" customHeight="false" outlineLevel="0" collapsed="false">
      <c r="A236" s="5" t="s">
        <v>19</v>
      </c>
      <c r="B236" s="5" t="s">
        <v>31</v>
      </c>
      <c r="C236" s="5" t="s">
        <v>32</v>
      </c>
      <c r="D236" s="10" t="n">
        <v>90000</v>
      </c>
      <c r="E236" s="6" t="n">
        <f aca="false">SUMIFS(Tranzakciók!$E:$E,Tranzakciók!$B:$B,$A236,Tranzakciók!$C:$C,$B236,Tranzakciók!$D:$D,$C236)</f>
        <v>0</v>
      </c>
      <c r="F236" s="6" t="n">
        <f aca="false">IF($B236="BEVÉTEL",E236-D236,D236-E236)</f>
        <v>90000</v>
      </c>
    </row>
    <row r="237" customFormat="false" ht="15" hidden="false" customHeight="false" outlineLevel="0" collapsed="false">
      <c r="A237" s="5" t="s">
        <v>19</v>
      </c>
      <c r="B237" s="5" t="s">
        <v>31</v>
      </c>
      <c r="C237" s="5" t="s">
        <v>33</v>
      </c>
      <c r="D237" s="10" t="n">
        <v>20000</v>
      </c>
      <c r="E237" s="6" t="n">
        <f aca="false">SUMIFS(Tranzakciók!$E:$E,Tranzakciók!$B:$B,$A237,Tranzakciók!$C:$C,$B237,Tranzakciók!$D:$D,$C237)</f>
        <v>0</v>
      </c>
      <c r="F237" s="6" t="n">
        <f aca="false">IF($B237="BEVÉTEL",E237-D237,D237-E237)</f>
        <v>20000</v>
      </c>
    </row>
    <row r="238" customFormat="false" ht="15" hidden="false" customHeight="false" outlineLevel="0" collapsed="false">
      <c r="A238" s="5" t="s">
        <v>19</v>
      </c>
      <c r="B238" s="5" t="s">
        <v>31</v>
      </c>
      <c r="C238" s="5" t="s">
        <v>34</v>
      </c>
      <c r="D238" s="10" t="n">
        <v>15050</v>
      </c>
      <c r="E238" s="6" t="n">
        <f aca="false">SUMIFS(Tranzakciók!$E:$E,Tranzakciók!$B:$B,$A238,Tranzakciók!$C:$C,$B238,Tranzakciók!$D:$D,$C238)</f>
        <v>0</v>
      </c>
      <c r="F238" s="6" t="n">
        <f aca="false">IF($B238="BEVÉTEL",E238-D238,D238-E238)</f>
        <v>15050</v>
      </c>
    </row>
    <row r="239" customFormat="false" ht="15" hidden="false" customHeight="false" outlineLevel="0" collapsed="false">
      <c r="A239" s="5" t="s">
        <v>19</v>
      </c>
      <c r="B239" s="5" t="s">
        <v>99</v>
      </c>
      <c r="C239" s="5" t="s">
        <v>100</v>
      </c>
      <c r="D239" s="10" t="n">
        <v>2990</v>
      </c>
      <c r="E239" s="6" t="n">
        <f aca="false">SUMIFS(Tranzakciók!$E:$E,Tranzakciók!$B:$B,$A239,Tranzakciók!$C:$C,$B239,Tranzakciók!$D:$D,$C239)</f>
        <v>0</v>
      </c>
      <c r="F239" s="6" t="n">
        <f aca="false">IF($B239="BEVÉTEL",E239-D239,D239-E239)</f>
        <v>2990</v>
      </c>
    </row>
    <row r="240" customFormat="false" ht="15" hidden="false" customHeight="false" outlineLevel="0" collapsed="false">
      <c r="A240" s="5" t="s">
        <v>19</v>
      </c>
      <c r="B240" s="5" t="s">
        <v>99</v>
      </c>
      <c r="C240" s="5" t="s">
        <v>101</v>
      </c>
      <c r="D240" s="10" t="n">
        <v>1890</v>
      </c>
      <c r="E240" s="6" t="n">
        <f aca="false">SUMIFS(Tranzakciók!$E:$E,Tranzakciók!$B:$B,$A240,Tranzakciók!$C:$C,$B240,Tranzakciók!$D:$D,$C240)</f>
        <v>0</v>
      </c>
      <c r="F240" s="6" t="n">
        <f aca="false">IF($B240="BEVÉTEL",E240-D240,D240-E240)</f>
        <v>1890</v>
      </c>
    </row>
    <row r="241" customFormat="false" ht="15" hidden="false" customHeight="false" outlineLevel="0" collapsed="false">
      <c r="A241" s="5" t="s">
        <v>19</v>
      </c>
      <c r="B241" s="5" t="s">
        <v>99</v>
      </c>
      <c r="C241" s="5" t="s">
        <v>102</v>
      </c>
      <c r="D241" s="10" t="n">
        <v>4790</v>
      </c>
      <c r="E241" s="6" t="n">
        <f aca="false">SUMIFS(Tranzakciók!$E:$E,Tranzakciók!$B:$B,$A241,Tranzakciók!$C:$C,$B241,Tranzakciók!$D:$D,$C241)</f>
        <v>0</v>
      </c>
      <c r="F241" s="6" t="n">
        <f aca="false">IF($B241="BEVÉTEL",E241-D241,D241-E241)</f>
        <v>4790</v>
      </c>
    </row>
    <row r="242" customFormat="false" ht="15" hidden="false" customHeight="false" outlineLevel="0" collapsed="false">
      <c r="A242" s="5" t="s">
        <v>19</v>
      </c>
      <c r="B242" s="5" t="s">
        <v>99</v>
      </c>
      <c r="C242" s="5" t="s">
        <v>36</v>
      </c>
      <c r="D242" s="10" t="n">
        <v>2190</v>
      </c>
      <c r="E242" s="6" t="n">
        <f aca="false">SUMIFS(Tranzakciók!$E:$E,Tranzakciók!$B:$B,$A242,Tranzakciók!$C:$C,$B242,Tranzakciók!$D:$D,$C242)</f>
        <v>0</v>
      </c>
      <c r="F242" s="6" t="n">
        <f aca="false">IF($B242="BEVÉTEL",E242-D242,D242-E242)</f>
        <v>2190</v>
      </c>
    </row>
    <row r="243" customFormat="false" ht="15" hidden="false" customHeight="false" outlineLevel="0" collapsed="false">
      <c r="A243" s="5" t="s">
        <v>19</v>
      </c>
      <c r="B243" s="5" t="s">
        <v>99</v>
      </c>
      <c r="C243" s="5" t="s">
        <v>103</v>
      </c>
      <c r="D243" s="10" t="n">
        <v>8256</v>
      </c>
      <c r="E243" s="6" t="n">
        <f aca="false">SUMIFS(Tranzakciók!$E:$E,Tranzakciók!$B:$B,$A243,Tranzakciók!$C:$C,$B243,Tranzakciók!$D:$D,$C243)</f>
        <v>0</v>
      </c>
      <c r="F243" s="6" t="n">
        <f aca="false">IF($B243="BEVÉTEL",E243-D243,D243-E243)</f>
        <v>8256</v>
      </c>
    </row>
    <row r="244" customFormat="false" ht="15" hidden="false" customHeight="false" outlineLevel="0" collapsed="false">
      <c r="A244" s="5" t="s">
        <v>19</v>
      </c>
      <c r="B244" s="5" t="s">
        <v>99</v>
      </c>
      <c r="C244" s="5" t="s">
        <v>93</v>
      </c>
      <c r="D244" s="10" t="n">
        <v>2450</v>
      </c>
      <c r="E244" s="6" t="n">
        <f aca="false">SUMIFS(Tranzakciók!$E:$E,Tranzakciók!$B:$B,$A244,Tranzakciók!$C:$C,$B244,Tranzakciók!$D:$D,$C244)</f>
        <v>0</v>
      </c>
      <c r="F244" s="6" t="n">
        <f aca="false">IF($B244="BEVÉTEL",E244-D244,D244-E244)</f>
        <v>2450</v>
      </c>
    </row>
    <row r="245" customFormat="false" ht="15" hidden="false" customHeight="false" outlineLevel="0" collapsed="false">
      <c r="A245" s="5" t="s">
        <v>19</v>
      </c>
      <c r="B245" s="5" t="s">
        <v>42</v>
      </c>
      <c r="C245" s="5" t="s">
        <v>43</v>
      </c>
      <c r="D245" s="10" t="n">
        <v>80000</v>
      </c>
      <c r="E245" s="6" t="n">
        <f aca="false">SUMIFS(Tranzakciók!$E:$E,Tranzakciók!$B:$B,$A245,Tranzakciók!$C:$C,$B245,Tranzakciók!$D:$D,$C245)</f>
        <v>0</v>
      </c>
      <c r="F245" s="6" t="n">
        <f aca="false">IF($B245="BEVÉTEL",E245-D245,D245-E245)</f>
        <v>80000</v>
      </c>
    </row>
    <row r="246" customFormat="false" ht="15" hidden="false" customHeight="false" outlineLevel="0" collapsed="false">
      <c r="A246" s="5" t="s">
        <v>19</v>
      </c>
      <c r="B246" s="5" t="s">
        <v>42</v>
      </c>
      <c r="C246" s="5" t="s">
        <v>104</v>
      </c>
      <c r="D246" s="10" t="n">
        <v>0</v>
      </c>
      <c r="E246" s="6" t="n">
        <f aca="false">SUMIFS(Tranzakciók!$E:$E,Tranzakciók!$B:$B,$A246,Tranzakciók!$C:$C,$B246,Tranzakciók!$D:$D,$C246)</f>
        <v>0</v>
      </c>
      <c r="F246" s="6" t="n">
        <f aca="false">IF($B246="BEVÉTEL",E246-D246,D246-E246)</f>
        <v>0</v>
      </c>
    </row>
    <row r="247" customFormat="false" ht="15" hidden="false" customHeight="false" outlineLevel="0" collapsed="false">
      <c r="A247" s="5" t="s">
        <v>19</v>
      </c>
      <c r="B247" s="5" t="s">
        <v>42</v>
      </c>
      <c r="C247" s="5" t="s">
        <v>44</v>
      </c>
      <c r="D247" s="10" t="n">
        <v>0</v>
      </c>
      <c r="E247" s="6" t="n">
        <f aca="false">SUMIFS(Tranzakciók!$E:$E,Tranzakciók!$B:$B,$A247,Tranzakciók!$C:$C,$B247,Tranzakciók!$D:$D,$C247)</f>
        <v>0</v>
      </c>
      <c r="F247" s="6" t="n">
        <f aca="false">IF($B247="BEVÉTEL",E247-D247,D247-E247)</f>
        <v>0</v>
      </c>
    </row>
    <row r="248" customFormat="false" ht="15" hidden="false" customHeight="false" outlineLevel="0" collapsed="false">
      <c r="A248" s="5" t="s">
        <v>19</v>
      </c>
      <c r="B248" s="5" t="s">
        <v>42</v>
      </c>
      <c r="C248" s="5" t="s">
        <v>41</v>
      </c>
      <c r="D248" s="10" t="n">
        <v>6000</v>
      </c>
      <c r="E248" s="6" t="n">
        <f aca="false">SUMIFS(Tranzakciók!$E:$E,Tranzakciók!$B:$B,$A248,Tranzakciók!$C:$C,$B248,Tranzakciók!$D:$D,$C248)</f>
        <v>0</v>
      </c>
      <c r="F248" s="6" t="n">
        <f aca="false">IF($B248="BEVÉTEL",E248-D248,D248-E248)</f>
        <v>6000</v>
      </c>
    </row>
    <row r="249" customFormat="false" ht="15" hidden="false" customHeight="false" outlineLevel="0" collapsed="false">
      <c r="A249" s="5" t="s">
        <v>19</v>
      </c>
      <c r="B249" s="5" t="s">
        <v>42</v>
      </c>
      <c r="C249" s="5" t="s">
        <v>46</v>
      </c>
      <c r="D249" s="10" t="n">
        <v>0</v>
      </c>
      <c r="E249" s="6" t="n">
        <f aca="false">SUMIFS(Tranzakciók!$E:$E,Tranzakciók!$B:$B,$A249,Tranzakciók!$C:$C,$B249,Tranzakciók!$D:$D,$C249)</f>
        <v>0</v>
      </c>
      <c r="F249" s="6" t="n">
        <f aca="false">IF($B249="BEVÉTEL",E249-D249,D249-E249)</f>
        <v>0</v>
      </c>
    </row>
    <row r="250" customFormat="false" ht="15" hidden="false" customHeight="false" outlineLevel="0" collapsed="false">
      <c r="A250" s="5" t="s">
        <v>19</v>
      </c>
      <c r="B250" s="5" t="s">
        <v>42</v>
      </c>
      <c r="C250" s="5" t="s">
        <v>47</v>
      </c>
      <c r="D250" s="10" t="n">
        <v>0</v>
      </c>
      <c r="E250" s="6" t="n">
        <f aca="false">SUMIFS(Tranzakciók!$E:$E,Tranzakciók!$B:$B,$A250,Tranzakciók!$C:$C,$B250,Tranzakciók!$D:$D,$C250)</f>
        <v>0</v>
      </c>
      <c r="F250" s="6" t="n">
        <f aca="false">IF($B250="BEVÉTEL",E250-D250,D250-E250)</f>
        <v>0</v>
      </c>
    </row>
    <row r="251" customFormat="false" ht="15" hidden="false" customHeight="false" outlineLevel="0" collapsed="false">
      <c r="A251" s="5" t="s">
        <v>19</v>
      </c>
      <c r="B251" s="5" t="s">
        <v>48</v>
      </c>
      <c r="C251" s="5" t="s">
        <v>83</v>
      </c>
      <c r="D251" s="10" t="n">
        <v>13900</v>
      </c>
      <c r="E251" s="6" t="n">
        <f aca="false">SUMIFS(Tranzakciók!$E:$E,Tranzakciók!$B:$B,$A251,Tranzakciók!$C:$C,$B251,Tranzakciók!$D:$D,$C251)</f>
        <v>0</v>
      </c>
      <c r="F251" s="6" t="n">
        <f aca="false">IF($B251="BEVÉTEL",E251-D251,D251-E251)</f>
        <v>13900</v>
      </c>
    </row>
    <row r="252" customFormat="false" ht="15" hidden="false" customHeight="false" outlineLevel="0" collapsed="false">
      <c r="A252" s="5" t="s">
        <v>19</v>
      </c>
      <c r="B252" s="5" t="s">
        <v>48</v>
      </c>
      <c r="C252" s="5" t="s">
        <v>115</v>
      </c>
      <c r="D252" s="10" t="n">
        <v>25000</v>
      </c>
      <c r="E252" s="6" t="n">
        <f aca="false">SUMIFS(Tranzakciók!$E:$E,Tranzakciók!$B:$B,$A252,Tranzakciók!$C:$C,$B252,Tranzakciók!$D:$D,$C252)</f>
        <v>0</v>
      </c>
      <c r="F252" s="6" t="n">
        <f aca="false">IF($B252="BEVÉTEL",E252-D252,D252-E252)</f>
        <v>25000</v>
      </c>
    </row>
    <row r="253" customFormat="false" ht="15" hidden="false" customHeight="false" outlineLevel="0" collapsed="false">
      <c r="A253" s="5" t="s">
        <v>19</v>
      </c>
      <c r="B253" s="5" t="s">
        <v>48</v>
      </c>
      <c r="C253" s="5" t="s">
        <v>52</v>
      </c>
      <c r="D253" s="10" t="n">
        <v>10000</v>
      </c>
      <c r="E253" s="6" t="n">
        <f aca="false">SUMIFS(Tranzakciók!$E:$E,Tranzakciók!$B:$B,$A253,Tranzakciók!$C:$C,$B253,Tranzakciók!$D:$D,$C253)</f>
        <v>0</v>
      </c>
      <c r="F253" s="6" t="n">
        <f aca="false">IF($B253="BEVÉTEL",E253-D253,D253-E253)</f>
        <v>10000</v>
      </c>
    </row>
    <row r="254" customFormat="false" ht="15" hidden="false" customHeight="false" outlineLevel="0" collapsed="false">
      <c r="A254" s="5" t="s">
        <v>19</v>
      </c>
      <c r="B254" s="5" t="s">
        <v>53</v>
      </c>
      <c r="C254" s="5" t="s">
        <v>116</v>
      </c>
      <c r="D254" s="10" t="n">
        <v>45000</v>
      </c>
      <c r="E254" s="6" t="n">
        <f aca="false">SUMIFS(Tranzakciók!$E:$E,Tranzakciók!$B:$B,$A254,Tranzakciók!$C:$C,$B254,Tranzakciók!$D:$D,$C254)</f>
        <v>0</v>
      </c>
      <c r="F254" s="6" t="n">
        <f aca="false">IF($B254="BEVÉTEL",E254-D254,D254-E254)</f>
        <v>45000</v>
      </c>
    </row>
    <row r="255" customFormat="false" ht="15" hidden="false" customHeight="false" outlineLevel="0" collapsed="false">
      <c r="A255" s="5" t="s">
        <v>19</v>
      </c>
      <c r="B255" s="5" t="s">
        <v>53</v>
      </c>
      <c r="C255" s="5" t="s">
        <v>117</v>
      </c>
      <c r="D255" s="10" t="n">
        <v>35000</v>
      </c>
      <c r="E255" s="6" t="n">
        <f aca="false">SUMIFS(Tranzakciók!$E:$E,Tranzakciók!$B:$B,$A255,Tranzakciók!$C:$C,$B255,Tranzakciók!$D:$D,$C255)</f>
        <v>0</v>
      </c>
      <c r="F255" s="6" t="n">
        <f aca="false">IF($B255="BEVÉTEL",E255-D255,D255-E255)</f>
        <v>35000</v>
      </c>
    </row>
    <row r="256" customFormat="false" ht="15" hidden="false" customHeight="false" outlineLevel="0" collapsed="false">
      <c r="A256" s="5" t="s">
        <v>19</v>
      </c>
      <c r="B256" s="5" t="s">
        <v>53</v>
      </c>
      <c r="C256" s="5" t="s">
        <v>118</v>
      </c>
      <c r="D256" s="10" t="n">
        <v>45000</v>
      </c>
      <c r="E256" s="6" t="n">
        <f aca="false">SUMIFS(Tranzakciók!$E:$E,Tranzakciók!$B:$B,$A256,Tranzakciók!$C:$C,$B256,Tranzakciók!$D:$D,$C256)</f>
        <v>0</v>
      </c>
      <c r="F256" s="6" t="n">
        <f aca="false">IF($B256="BEVÉTEL",E256-D256,D256-E256)</f>
        <v>45000</v>
      </c>
    </row>
    <row r="257" customFormat="false" ht="15" hidden="false" customHeight="false" outlineLevel="0" collapsed="false">
      <c r="A257" s="5" t="s">
        <v>19</v>
      </c>
      <c r="B257" s="5" t="s">
        <v>53</v>
      </c>
      <c r="C257" s="5" t="s">
        <v>119</v>
      </c>
      <c r="D257" s="10" t="n">
        <v>35000</v>
      </c>
      <c r="E257" s="6" t="n">
        <f aca="false">SUMIFS(Tranzakciók!$E:$E,Tranzakciók!$B:$B,$A257,Tranzakciók!$C:$C,$B257,Tranzakciók!$D:$D,$C257)</f>
        <v>0</v>
      </c>
      <c r="F257" s="6" t="n">
        <f aca="false">IF($B257="BEVÉTEL",E257-D257,D257-E257)</f>
        <v>35000</v>
      </c>
    </row>
    <row r="258" customFormat="false" ht="15" hidden="false" customHeight="false" outlineLevel="0" collapsed="false">
      <c r="A258" s="5" t="s">
        <v>19</v>
      </c>
      <c r="B258" s="5" t="s">
        <v>53</v>
      </c>
      <c r="C258" s="5" t="s">
        <v>120</v>
      </c>
      <c r="D258" s="10" t="n">
        <v>20000</v>
      </c>
      <c r="E258" s="6" t="n">
        <f aca="false">SUMIFS(Tranzakciók!$E:$E,Tranzakciók!$B:$B,$A258,Tranzakciók!$C:$C,$B258,Tranzakciók!$D:$D,$C258)</f>
        <v>0</v>
      </c>
      <c r="F258" s="6" t="n">
        <f aca="false">IF($B258="BEVÉTEL",E258-D258,D258-E258)</f>
        <v>20000</v>
      </c>
    </row>
    <row r="259" customFormat="false" ht="15" hidden="false" customHeight="false" outlineLevel="0" collapsed="false">
      <c r="A259" s="5" t="s">
        <v>19</v>
      </c>
      <c r="B259" s="5" t="s">
        <v>60</v>
      </c>
      <c r="C259" s="5" t="s">
        <v>61</v>
      </c>
      <c r="D259" s="10" t="n">
        <v>70000</v>
      </c>
      <c r="E259" s="6" t="n">
        <f aca="false">SUMIFS(Tranzakciók!$E:$E,Tranzakciók!$B:$B,$A259,Tranzakciók!$C:$C,$B259,Tranzakciók!$D:$D,$C259)</f>
        <v>0</v>
      </c>
      <c r="F259" s="6" t="n">
        <f aca="false">IF($B259="BEVÉTEL",E259-D259,D259-E259)</f>
        <v>70000</v>
      </c>
    </row>
    <row r="260" customFormat="false" ht="15" hidden="false" customHeight="false" outlineLevel="0" collapsed="false">
      <c r="A260" s="5" t="s">
        <v>20</v>
      </c>
      <c r="B260" s="5" t="s">
        <v>28</v>
      </c>
      <c r="C260" s="5" t="s">
        <v>29</v>
      </c>
      <c r="D260" s="10" t="n">
        <v>497150</v>
      </c>
      <c r="E260" s="6" t="n">
        <f aca="false">SUMIFS(Tranzakciók!$E:$E,Tranzakciók!$B:$B,$A260,Tranzakciók!$C:$C,$B260,Tranzakciók!$D:$D,$C260)</f>
        <v>0</v>
      </c>
      <c r="F260" s="6" t="n">
        <f aca="false">IF($B260="BEVÉTEL",E260-D260,D260-E260)</f>
        <v>-497150</v>
      </c>
    </row>
    <row r="261" customFormat="false" ht="15" hidden="false" customHeight="false" outlineLevel="0" collapsed="false">
      <c r="A261" s="5" t="s">
        <v>20</v>
      </c>
      <c r="B261" s="5" t="s">
        <v>28</v>
      </c>
      <c r="C261" s="5" t="s">
        <v>30</v>
      </c>
      <c r="D261" s="10" t="n">
        <v>44010</v>
      </c>
      <c r="E261" s="6" t="n">
        <f aca="false">SUMIFS(Tranzakciók!$E:$E,Tranzakciók!$B:$B,$A261,Tranzakciók!$C:$C,$B261,Tranzakciók!$D:$D,$C261)</f>
        <v>0</v>
      </c>
      <c r="F261" s="6" t="n">
        <f aca="false">IF($B261="BEVÉTEL",E261-D261,D261-E261)</f>
        <v>-44010</v>
      </c>
    </row>
    <row r="262" customFormat="false" ht="15" hidden="false" customHeight="false" outlineLevel="0" collapsed="false">
      <c r="A262" s="5" t="s">
        <v>20</v>
      </c>
      <c r="B262" s="5" t="s">
        <v>31</v>
      </c>
      <c r="C262" s="5" t="s">
        <v>32</v>
      </c>
      <c r="D262" s="10" t="n">
        <v>90000</v>
      </c>
      <c r="E262" s="6" t="n">
        <f aca="false">SUMIFS(Tranzakciók!$E:$E,Tranzakciók!$B:$B,$A262,Tranzakciók!$C:$C,$B262,Tranzakciók!$D:$D,$C262)</f>
        <v>0</v>
      </c>
      <c r="F262" s="6" t="n">
        <f aca="false">IF($B262="BEVÉTEL",E262-D262,D262-E262)</f>
        <v>90000</v>
      </c>
    </row>
    <row r="263" customFormat="false" ht="15" hidden="false" customHeight="false" outlineLevel="0" collapsed="false">
      <c r="A263" s="5" t="s">
        <v>20</v>
      </c>
      <c r="B263" s="5" t="s">
        <v>31</v>
      </c>
      <c r="C263" s="5" t="s">
        <v>33</v>
      </c>
      <c r="D263" s="10" t="n">
        <v>20000</v>
      </c>
      <c r="E263" s="6" t="n">
        <f aca="false">SUMIFS(Tranzakciók!$E:$E,Tranzakciók!$B:$B,$A263,Tranzakciók!$C:$C,$B263,Tranzakciók!$D:$D,$C263)</f>
        <v>0</v>
      </c>
      <c r="F263" s="6" t="n">
        <f aca="false">IF($B263="BEVÉTEL",E263-D263,D263-E263)</f>
        <v>20000</v>
      </c>
    </row>
    <row r="264" customFormat="false" ht="15" hidden="false" customHeight="false" outlineLevel="0" collapsed="false">
      <c r="A264" s="5" t="s">
        <v>20</v>
      </c>
      <c r="B264" s="5" t="s">
        <v>31</v>
      </c>
      <c r="C264" s="5" t="s">
        <v>34</v>
      </c>
      <c r="D264" s="10" t="n">
        <v>15050</v>
      </c>
      <c r="E264" s="6" t="n">
        <f aca="false">SUMIFS(Tranzakciók!$E:$E,Tranzakciók!$B:$B,$A264,Tranzakciók!$C:$C,$B264,Tranzakciók!$D:$D,$C264)</f>
        <v>0</v>
      </c>
      <c r="F264" s="6" t="n">
        <f aca="false">IF($B264="BEVÉTEL",E264-D264,D264-E264)</f>
        <v>15050</v>
      </c>
    </row>
    <row r="265" customFormat="false" ht="15" hidden="false" customHeight="false" outlineLevel="0" collapsed="false">
      <c r="A265" s="5" t="s">
        <v>20</v>
      </c>
      <c r="B265" s="5" t="s">
        <v>99</v>
      </c>
      <c r="C265" s="5" t="s">
        <v>100</v>
      </c>
      <c r="D265" s="10" t="n">
        <v>2990</v>
      </c>
      <c r="E265" s="6" t="n">
        <f aca="false">SUMIFS(Tranzakciók!$E:$E,Tranzakciók!$B:$B,$A265,Tranzakciók!$C:$C,$B265,Tranzakciók!$D:$D,$C265)</f>
        <v>0</v>
      </c>
      <c r="F265" s="6" t="n">
        <f aca="false">IF($B265="BEVÉTEL",E265-D265,D265-E265)</f>
        <v>2990</v>
      </c>
    </row>
    <row r="266" customFormat="false" ht="15" hidden="false" customHeight="false" outlineLevel="0" collapsed="false">
      <c r="A266" s="5" t="s">
        <v>20</v>
      </c>
      <c r="B266" s="5" t="s">
        <v>99</v>
      </c>
      <c r="C266" s="5" t="s">
        <v>101</v>
      </c>
      <c r="D266" s="10" t="n">
        <v>1890</v>
      </c>
      <c r="E266" s="6" t="n">
        <f aca="false">SUMIFS(Tranzakciók!$E:$E,Tranzakciók!$B:$B,$A266,Tranzakciók!$C:$C,$B266,Tranzakciók!$D:$D,$C266)</f>
        <v>0</v>
      </c>
      <c r="F266" s="6" t="n">
        <f aca="false">IF($B266="BEVÉTEL",E266-D266,D266-E266)</f>
        <v>1890</v>
      </c>
    </row>
    <row r="267" customFormat="false" ht="15" hidden="false" customHeight="false" outlineLevel="0" collapsed="false">
      <c r="A267" s="5" t="s">
        <v>20</v>
      </c>
      <c r="B267" s="5" t="s">
        <v>99</v>
      </c>
      <c r="C267" s="5" t="s">
        <v>102</v>
      </c>
      <c r="D267" s="10" t="n">
        <v>4790</v>
      </c>
      <c r="E267" s="6" t="n">
        <f aca="false">SUMIFS(Tranzakciók!$E:$E,Tranzakciók!$B:$B,$A267,Tranzakciók!$C:$C,$B267,Tranzakciók!$D:$D,$C267)</f>
        <v>0</v>
      </c>
      <c r="F267" s="6" t="n">
        <f aca="false">IF($B267="BEVÉTEL",E267-D267,D267-E267)</f>
        <v>4790</v>
      </c>
    </row>
    <row r="268" customFormat="false" ht="15" hidden="false" customHeight="false" outlineLevel="0" collapsed="false">
      <c r="A268" s="5" t="s">
        <v>20</v>
      </c>
      <c r="B268" s="5" t="s">
        <v>99</v>
      </c>
      <c r="C268" s="5" t="s">
        <v>36</v>
      </c>
      <c r="D268" s="10" t="n">
        <v>2190</v>
      </c>
      <c r="E268" s="6" t="n">
        <f aca="false">SUMIFS(Tranzakciók!$E:$E,Tranzakciók!$B:$B,$A268,Tranzakciók!$C:$C,$B268,Tranzakciók!$D:$D,$C268)</f>
        <v>0</v>
      </c>
      <c r="F268" s="6" t="n">
        <f aca="false">IF($B268="BEVÉTEL",E268-D268,D268-E268)</f>
        <v>2190</v>
      </c>
    </row>
    <row r="269" customFormat="false" ht="15" hidden="false" customHeight="false" outlineLevel="0" collapsed="false">
      <c r="A269" s="5" t="s">
        <v>20</v>
      </c>
      <c r="B269" s="5" t="s">
        <v>99</v>
      </c>
      <c r="C269" s="5" t="s">
        <v>103</v>
      </c>
      <c r="D269" s="10" t="n">
        <v>8256</v>
      </c>
      <c r="E269" s="6" t="n">
        <f aca="false">SUMIFS(Tranzakciók!$E:$E,Tranzakciók!$B:$B,$A269,Tranzakciók!$C:$C,$B269,Tranzakciók!$D:$D,$C269)</f>
        <v>0</v>
      </c>
      <c r="F269" s="6" t="n">
        <f aca="false">IF($B269="BEVÉTEL",E269-D269,D269-E269)</f>
        <v>8256</v>
      </c>
    </row>
    <row r="270" customFormat="false" ht="15" hidden="false" customHeight="false" outlineLevel="0" collapsed="false">
      <c r="A270" s="5" t="s">
        <v>20</v>
      </c>
      <c r="B270" s="5" t="s">
        <v>99</v>
      </c>
      <c r="C270" s="5" t="s">
        <v>93</v>
      </c>
      <c r="D270" s="10" t="n">
        <v>2450</v>
      </c>
      <c r="E270" s="6" t="n">
        <f aca="false">SUMIFS(Tranzakciók!$E:$E,Tranzakciók!$B:$B,$A270,Tranzakciók!$C:$C,$B270,Tranzakciók!$D:$D,$C270)</f>
        <v>0</v>
      </c>
      <c r="F270" s="6" t="n">
        <f aca="false">IF($B270="BEVÉTEL",E270-D270,D270-E270)</f>
        <v>2450</v>
      </c>
    </row>
    <row r="271" customFormat="false" ht="15" hidden="false" customHeight="false" outlineLevel="0" collapsed="false">
      <c r="A271" s="5" t="s">
        <v>20</v>
      </c>
      <c r="B271" s="5" t="s">
        <v>42</v>
      </c>
      <c r="C271" s="5" t="s">
        <v>43</v>
      </c>
      <c r="D271" s="10" t="n">
        <v>80000</v>
      </c>
      <c r="E271" s="6" t="n">
        <f aca="false">SUMIFS(Tranzakciók!$E:$E,Tranzakciók!$B:$B,$A271,Tranzakciók!$C:$C,$B271,Tranzakciók!$D:$D,$C271)</f>
        <v>0</v>
      </c>
      <c r="F271" s="6" t="n">
        <f aca="false">IF($B271="BEVÉTEL",E271-D271,D271-E271)</f>
        <v>80000</v>
      </c>
    </row>
    <row r="272" customFormat="false" ht="15" hidden="false" customHeight="false" outlineLevel="0" collapsed="false">
      <c r="A272" s="5" t="s">
        <v>20</v>
      </c>
      <c r="B272" s="5" t="s">
        <v>42</v>
      </c>
      <c r="C272" s="5" t="s">
        <v>104</v>
      </c>
      <c r="D272" s="10" t="n">
        <v>0</v>
      </c>
      <c r="E272" s="6" t="n">
        <f aca="false">SUMIFS(Tranzakciók!$E:$E,Tranzakciók!$B:$B,$A272,Tranzakciók!$C:$C,$B272,Tranzakciók!$D:$D,$C272)</f>
        <v>0</v>
      </c>
      <c r="F272" s="6" t="n">
        <f aca="false">IF($B272="BEVÉTEL",E272-D272,D272-E272)</f>
        <v>0</v>
      </c>
    </row>
    <row r="273" customFormat="false" ht="15" hidden="false" customHeight="false" outlineLevel="0" collapsed="false">
      <c r="A273" s="5" t="s">
        <v>20</v>
      </c>
      <c r="B273" s="5" t="s">
        <v>42</v>
      </c>
      <c r="C273" s="5" t="s">
        <v>44</v>
      </c>
      <c r="D273" s="10" t="n">
        <v>0</v>
      </c>
      <c r="E273" s="6" t="n">
        <f aca="false">SUMIFS(Tranzakciók!$E:$E,Tranzakciók!$B:$B,$A273,Tranzakciók!$C:$C,$B273,Tranzakciók!$D:$D,$C273)</f>
        <v>0</v>
      </c>
      <c r="F273" s="6" t="n">
        <f aca="false">IF($B273="BEVÉTEL",E273-D273,D273-E273)</f>
        <v>0</v>
      </c>
    </row>
    <row r="274" customFormat="false" ht="15" hidden="false" customHeight="false" outlineLevel="0" collapsed="false">
      <c r="A274" s="5" t="s">
        <v>20</v>
      </c>
      <c r="B274" s="5" t="s">
        <v>42</v>
      </c>
      <c r="C274" s="5" t="s">
        <v>41</v>
      </c>
      <c r="D274" s="10" t="n">
        <v>6000</v>
      </c>
      <c r="E274" s="6" t="n">
        <f aca="false">SUMIFS(Tranzakciók!$E:$E,Tranzakciók!$B:$B,$A274,Tranzakciók!$C:$C,$B274,Tranzakciók!$D:$D,$C274)</f>
        <v>0</v>
      </c>
      <c r="F274" s="6" t="n">
        <f aca="false">IF($B274="BEVÉTEL",E274-D274,D274-E274)</f>
        <v>6000</v>
      </c>
    </row>
    <row r="275" customFormat="false" ht="15" hidden="false" customHeight="false" outlineLevel="0" collapsed="false">
      <c r="A275" s="5" t="s">
        <v>20</v>
      </c>
      <c r="B275" s="5" t="s">
        <v>42</v>
      </c>
      <c r="C275" s="5" t="s">
        <v>46</v>
      </c>
      <c r="D275" s="10" t="n">
        <v>0</v>
      </c>
      <c r="E275" s="6" t="n">
        <f aca="false">SUMIFS(Tranzakciók!$E:$E,Tranzakciók!$B:$B,$A275,Tranzakciók!$C:$C,$B275,Tranzakciók!$D:$D,$C275)</f>
        <v>0</v>
      </c>
      <c r="F275" s="6" t="n">
        <f aca="false">IF($B275="BEVÉTEL",E275-D275,D275-E275)</f>
        <v>0</v>
      </c>
    </row>
    <row r="276" customFormat="false" ht="15" hidden="false" customHeight="false" outlineLevel="0" collapsed="false">
      <c r="A276" s="5" t="s">
        <v>20</v>
      </c>
      <c r="B276" s="5" t="s">
        <v>42</v>
      </c>
      <c r="C276" s="5" t="s">
        <v>47</v>
      </c>
      <c r="D276" s="10" t="n">
        <v>15000</v>
      </c>
      <c r="E276" s="6" t="n">
        <f aca="false">SUMIFS(Tranzakciók!$E:$E,Tranzakciók!$B:$B,$A276,Tranzakciók!$C:$C,$B276,Tranzakciók!$D:$D,$C276)</f>
        <v>0</v>
      </c>
      <c r="F276" s="6" t="n">
        <f aca="false">IF($B276="BEVÉTEL",E276-D276,D276-E276)</f>
        <v>15000</v>
      </c>
    </row>
    <row r="277" customFormat="false" ht="15" hidden="false" customHeight="false" outlineLevel="0" collapsed="false">
      <c r="A277" s="5" t="s">
        <v>20</v>
      </c>
      <c r="B277" s="5" t="s">
        <v>48</v>
      </c>
      <c r="C277" s="5" t="s">
        <v>83</v>
      </c>
      <c r="D277" s="10" t="n">
        <v>13900</v>
      </c>
      <c r="E277" s="6" t="n">
        <f aca="false">SUMIFS(Tranzakciók!$E:$E,Tranzakciók!$B:$B,$A277,Tranzakciók!$C:$C,$B277,Tranzakciók!$D:$D,$C277)</f>
        <v>0</v>
      </c>
      <c r="F277" s="6" t="n">
        <f aca="false">IF($B277="BEVÉTEL",E277-D277,D277-E277)</f>
        <v>13900</v>
      </c>
    </row>
    <row r="278" customFormat="false" ht="15" hidden="false" customHeight="false" outlineLevel="0" collapsed="false">
      <c r="A278" s="5" t="s">
        <v>20</v>
      </c>
      <c r="B278" s="5" t="s">
        <v>48</v>
      </c>
      <c r="C278" s="5" t="s">
        <v>115</v>
      </c>
      <c r="D278" s="10" t="n">
        <v>25000</v>
      </c>
      <c r="E278" s="6" t="n">
        <f aca="false">SUMIFS(Tranzakciók!$E:$E,Tranzakciók!$B:$B,$A278,Tranzakciók!$C:$C,$B278,Tranzakciók!$D:$D,$C278)</f>
        <v>0</v>
      </c>
      <c r="F278" s="6" t="n">
        <f aca="false">IF($B278="BEVÉTEL",E278-D278,D278-E278)</f>
        <v>25000</v>
      </c>
    </row>
    <row r="279" customFormat="false" ht="15" hidden="false" customHeight="false" outlineLevel="0" collapsed="false">
      <c r="A279" s="5" t="s">
        <v>20</v>
      </c>
      <c r="B279" s="5" t="s">
        <v>48</v>
      </c>
      <c r="C279" s="5" t="s">
        <v>52</v>
      </c>
      <c r="D279" s="10" t="n">
        <v>10000</v>
      </c>
      <c r="E279" s="6" t="n">
        <f aca="false">SUMIFS(Tranzakciók!$E:$E,Tranzakciók!$B:$B,$A279,Tranzakciók!$C:$C,$B279,Tranzakciók!$D:$D,$C279)</f>
        <v>0</v>
      </c>
      <c r="F279" s="6" t="n">
        <f aca="false">IF($B279="BEVÉTEL",E279-D279,D279-E279)</f>
        <v>10000</v>
      </c>
    </row>
    <row r="280" customFormat="false" ht="15" hidden="false" customHeight="false" outlineLevel="0" collapsed="false">
      <c r="A280" s="5" t="s">
        <v>20</v>
      </c>
      <c r="B280" s="5" t="s">
        <v>53</v>
      </c>
      <c r="C280" s="5" t="s">
        <v>121</v>
      </c>
      <c r="D280" s="10" t="n">
        <v>20000</v>
      </c>
      <c r="E280" s="6" t="n">
        <f aca="false">SUMIFS(Tranzakciók!$E:$E,Tranzakciók!$B:$B,$A280,Tranzakciók!$C:$C,$B280,Tranzakciók!$D:$D,$C280)</f>
        <v>0</v>
      </c>
      <c r="F280" s="6" t="n">
        <f aca="false">IF($B280="BEVÉTEL",E280-D280,D280-E280)</f>
        <v>20000</v>
      </c>
    </row>
    <row r="281" customFormat="false" ht="15" hidden="false" customHeight="false" outlineLevel="0" collapsed="false">
      <c r="A281" s="5" t="s">
        <v>20</v>
      </c>
      <c r="B281" s="5" t="s">
        <v>53</v>
      </c>
      <c r="C281" s="5" t="s">
        <v>122</v>
      </c>
      <c r="D281" s="10" t="n">
        <v>45000</v>
      </c>
      <c r="E281" s="6" t="n">
        <f aca="false">SUMIFS(Tranzakciók!$E:$E,Tranzakciók!$B:$B,$A281,Tranzakciók!$C:$C,$B281,Tranzakciók!$D:$D,$C281)</f>
        <v>0</v>
      </c>
      <c r="F281" s="6" t="n">
        <f aca="false">IF($B281="BEVÉTEL",E281-D281,D281-E281)</f>
        <v>45000</v>
      </c>
    </row>
    <row r="282" customFormat="false" ht="15" hidden="false" customHeight="false" outlineLevel="0" collapsed="false">
      <c r="A282" s="5" t="s">
        <v>20</v>
      </c>
      <c r="B282" s="5" t="s">
        <v>53</v>
      </c>
      <c r="C282" s="5" t="s">
        <v>123</v>
      </c>
      <c r="D282" s="10" t="n">
        <v>50000</v>
      </c>
      <c r="E282" s="6" t="n">
        <f aca="false">SUMIFS(Tranzakciók!$E:$E,Tranzakciók!$B:$B,$A282,Tranzakciók!$C:$C,$B282,Tranzakciók!$D:$D,$C282)</f>
        <v>0</v>
      </c>
      <c r="F282" s="6" t="n">
        <f aca="false">IF($B282="BEVÉTEL",E282-D282,D282-E282)</f>
        <v>50000</v>
      </c>
    </row>
    <row r="283" customFormat="false" ht="15" hidden="false" customHeight="false" outlineLevel="0" collapsed="false">
      <c r="A283" s="5" t="s">
        <v>20</v>
      </c>
      <c r="B283" s="5" t="s">
        <v>53</v>
      </c>
      <c r="C283" s="5" t="s">
        <v>124</v>
      </c>
      <c r="D283" s="10" t="n">
        <v>42000</v>
      </c>
      <c r="E283" s="6" t="n">
        <f aca="false">SUMIFS(Tranzakciók!$E:$E,Tranzakciók!$B:$B,$A283,Tranzakciók!$C:$C,$B283,Tranzakciók!$D:$D,$C283)</f>
        <v>0</v>
      </c>
      <c r="F283" s="6" t="n">
        <f aca="false">IF($B283="BEVÉTEL",E283-D283,D283-E283)</f>
        <v>42000</v>
      </c>
    </row>
    <row r="284" customFormat="false" ht="15" hidden="false" customHeight="false" outlineLevel="0" collapsed="false">
      <c r="A284" s="5" t="s">
        <v>20</v>
      </c>
      <c r="B284" s="5" t="s">
        <v>60</v>
      </c>
      <c r="C284" s="5" t="s">
        <v>61</v>
      </c>
      <c r="D284" s="10" t="n">
        <v>70000</v>
      </c>
      <c r="E284" s="6" t="n">
        <f aca="false">SUMIFS(Tranzakciók!$E:$E,Tranzakciók!$B:$B,$A284,Tranzakciók!$C:$C,$B284,Tranzakciók!$D:$D,$C284)</f>
        <v>0</v>
      </c>
      <c r="F284" s="6" t="n">
        <f aca="false">IF($B284="BEVÉTEL",E284-D284,D284-E284)</f>
        <v>70000</v>
      </c>
    </row>
    <row r="285" customFormat="false" ht="15" hidden="false" customHeight="false" outlineLevel="0" collapsed="false">
      <c r="A285" s="5" t="s">
        <v>21</v>
      </c>
      <c r="B285" s="5" t="s">
        <v>28</v>
      </c>
      <c r="C285" s="5" t="s">
        <v>29</v>
      </c>
      <c r="D285" s="10" t="n">
        <v>497150</v>
      </c>
      <c r="E285" s="6" t="n">
        <f aca="false">SUMIFS(Tranzakciók!$E:$E,Tranzakciók!$B:$B,$A285,Tranzakciók!$C:$C,$B285,Tranzakciók!$D:$D,$C285)</f>
        <v>0</v>
      </c>
      <c r="F285" s="6" t="n">
        <f aca="false">IF($B285="BEVÉTEL",E285-D285,D285-E285)</f>
        <v>-497150</v>
      </c>
    </row>
    <row r="286" customFormat="false" ht="15" hidden="false" customHeight="false" outlineLevel="0" collapsed="false">
      <c r="A286" s="5" t="s">
        <v>21</v>
      </c>
      <c r="B286" s="5" t="s">
        <v>28</v>
      </c>
      <c r="C286" s="5" t="s">
        <v>30</v>
      </c>
      <c r="D286" s="10" t="n">
        <v>44010</v>
      </c>
      <c r="E286" s="6" t="n">
        <f aca="false">SUMIFS(Tranzakciók!$E:$E,Tranzakciók!$B:$B,$A286,Tranzakciók!$C:$C,$B286,Tranzakciók!$D:$D,$C286)</f>
        <v>0</v>
      </c>
      <c r="F286" s="6" t="n">
        <f aca="false">IF($B286="BEVÉTEL",E286-D286,D286-E286)</f>
        <v>-44010</v>
      </c>
    </row>
    <row r="287" customFormat="false" ht="15" hidden="false" customHeight="false" outlineLevel="0" collapsed="false">
      <c r="A287" s="5" t="s">
        <v>21</v>
      </c>
      <c r="B287" s="5" t="s">
        <v>31</v>
      </c>
      <c r="C287" s="5" t="s">
        <v>32</v>
      </c>
      <c r="D287" s="10" t="n">
        <v>90000</v>
      </c>
      <c r="E287" s="6" t="n">
        <f aca="false">SUMIFS(Tranzakciók!$E:$E,Tranzakciók!$B:$B,$A287,Tranzakciók!$C:$C,$B287,Tranzakciók!$D:$D,$C287)</f>
        <v>0</v>
      </c>
      <c r="F287" s="6" t="n">
        <f aca="false">IF($B287="BEVÉTEL",E287-D287,D287-E287)</f>
        <v>90000</v>
      </c>
    </row>
    <row r="288" customFormat="false" ht="15" hidden="false" customHeight="false" outlineLevel="0" collapsed="false">
      <c r="A288" s="5" t="s">
        <v>21</v>
      </c>
      <c r="B288" s="5" t="s">
        <v>31</v>
      </c>
      <c r="C288" s="5" t="s">
        <v>33</v>
      </c>
      <c r="D288" s="10" t="n">
        <v>20000</v>
      </c>
      <c r="E288" s="6" t="n">
        <f aca="false">SUMIFS(Tranzakciók!$E:$E,Tranzakciók!$B:$B,$A288,Tranzakciók!$C:$C,$B288,Tranzakciók!$D:$D,$C288)</f>
        <v>0</v>
      </c>
      <c r="F288" s="6" t="n">
        <f aca="false">IF($B288="BEVÉTEL",E288-D288,D288-E288)</f>
        <v>20000</v>
      </c>
    </row>
    <row r="289" customFormat="false" ht="15" hidden="false" customHeight="false" outlineLevel="0" collapsed="false">
      <c r="A289" s="5" t="s">
        <v>21</v>
      </c>
      <c r="B289" s="5" t="s">
        <v>31</v>
      </c>
      <c r="C289" s="5" t="s">
        <v>34</v>
      </c>
      <c r="D289" s="10" t="n">
        <v>15050</v>
      </c>
      <c r="E289" s="6" t="n">
        <f aca="false">SUMIFS(Tranzakciók!$E:$E,Tranzakciók!$B:$B,$A289,Tranzakciók!$C:$C,$B289,Tranzakciók!$D:$D,$C289)</f>
        <v>0</v>
      </c>
      <c r="F289" s="6" t="n">
        <f aca="false">IF($B289="BEVÉTEL",E289-D289,D289-E289)</f>
        <v>15050</v>
      </c>
    </row>
    <row r="290" customFormat="false" ht="15" hidden="false" customHeight="false" outlineLevel="0" collapsed="false">
      <c r="A290" s="5" t="s">
        <v>21</v>
      </c>
      <c r="B290" s="5" t="s">
        <v>99</v>
      </c>
      <c r="C290" s="5" t="s">
        <v>100</v>
      </c>
      <c r="D290" s="10" t="n">
        <v>2990</v>
      </c>
      <c r="E290" s="6" t="n">
        <f aca="false">SUMIFS(Tranzakciók!$E:$E,Tranzakciók!$B:$B,$A290,Tranzakciók!$C:$C,$B290,Tranzakciók!$D:$D,$C290)</f>
        <v>0</v>
      </c>
      <c r="F290" s="6" t="n">
        <f aca="false">IF($B290="BEVÉTEL",E290-D290,D290-E290)</f>
        <v>2990</v>
      </c>
    </row>
    <row r="291" customFormat="false" ht="15" hidden="false" customHeight="false" outlineLevel="0" collapsed="false">
      <c r="A291" s="5" t="s">
        <v>21</v>
      </c>
      <c r="B291" s="5" t="s">
        <v>99</v>
      </c>
      <c r="C291" s="5" t="s">
        <v>101</v>
      </c>
      <c r="D291" s="10" t="n">
        <v>1890</v>
      </c>
      <c r="E291" s="6" t="n">
        <f aca="false">SUMIFS(Tranzakciók!$E:$E,Tranzakciók!$B:$B,$A291,Tranzakciók!$C:$C,$B291,Tranzakciók!$D:$D,$C291)</f>
        <v>0</v>
      </c>
      <c r="F291" s="6" t="n">
        <f aca="false">IF($B291="BEVÉTEL",E291-D291,D291-E291)</f>
        <v>1890</v>
      </c>
    </row>
    <row r="292" customFormat="false" ht="15" hidden="false" customHeight="false" outlineLevel="0" collapsed="false">
      <c r="A292" s="5" t="s">
        <v>21</v>
      </c>
      <c r="B292" s="5" t="s">
        <v>99</v>
      </c>
      <c r="C292" s="5" t="s">
        <v>102</v>
      </c>
      <c r="D292" s="10" t="n">
        <v>4790</v>
      </c>
      <c r="E292" s="6" t="n">
        <f aca="false">SUMIFS(Tranzakciók!$E:$E,Tranzakciók!$B:$B,$A292,Tranzakciók!$C:$C,$B292,Tranzakciók!$D:$D,$C292)</f>
        <v>0</v>
      </c>
      <c r="F292" s="6" t="n">
        <f aca="false">IF($B292="BEVÉTEL",E292-D292,D292-E292)</f>
        <v>4790</v>
      </c>
    </row>
    <row r="293" customFormat="false" ht="15" hidden="false" customHeight="false" outlineLevel="0" collapsed="false">
      <c r="A293" s="5" t="s">
        <v>21</v>
      </c>
      <c r="B293" s="5" t="s">
        <v>99</v>
      </c>
      <c r="C293" s="5" t="s">
        <v>36</v>
      </c>
      <c r="D293" s="10" t="n">
        <v>2190</v>
      </c>
      <c r="E293" s="6" t="n">
        <f aca="false">SUMIFS(Tranzakciók!$E:$E,Tranzakciók!$B:$B,$A293,Tranzakciók!$C:$C,$B293,Tranzakciók!$D:$D,$C293)</f>
        <v>0</v>
      </c>
      <c r="F293" s="6" t="n">
        <f aca="false">IF($B293="BEVÉTEL",E293-D293,D293-E293)</f>
        <v>2190</v>
      </c>
    </row>
    <row r="294" customFormat="false" ht="15" hidden="false" customHeight="false" outlineLevel="0" collapsed="false">
      <c r="A294" s="5" t="s">
        <v>21</v>
      </c>
      <c r="B294" s="5" t="s">
        <v>99</v>
      </c>
      <c r="C294" s="5" t="s">
        <v>103</v>
      </c>
      <c r="D294" s="10" t="n">
        <v>8256</v>
      </c>
      <c r="E294" s="6" t="n">
        <f aca="false">SUMIFS(Tranzakciók!$E:$E,Tranzakciók!$B:$B,$A294,Tranzakciók!$C:$C,$B294,Tranzakciók!$D:$D,$C294)</f>
        <v>0</v>
      </c>
      <c r="F294" s="6" t="n">
        <f aca="false">IF($B294="BEVÉTEL",E294-D294,D294-E294)</f>
        <v>8256</v>
      </c>
    </row>
    <row r="295" customFormat="false" ht="15" hidden="false" customHeight="false" outlineLevel="0" collapsed="false">
      <c r="A295" s="5" t="s">
        <v>21</v>
      </c>
      <c r="B295" s="5" t="s">
        <v>99</v>
      </c>
      <c r="C295" s="5" t="s">
        <v>93</v>
      </c>
      <c r="D295" s="10" t="n">
        <v>2450</v>
      </c>
      <c r="E295" s="6" t="n">
        <f aca="false">SUMIFS(Tranzakciók!$E:$E,Tranzakciók!$B:$B,$A295,Tranzakciók!$C:$C,$B295,Tranzakciók!$D:$D,$C295)</f>
        <v>0</v>
      </c>
      <c r="F295" s="6" t="n">
        <f aca="false">IF($B295="BEVÉTEL",E295-D295,D295-E295)</f>
        <v>2450</v>
      </c>
    </row>
    <row r="296" customFormat="false" ht="15" hidden="false" customHeight="false" outlineLevel="0" collapsed="false">
      <c r="A296" s="5" t="s">
        <v>21</v>
      </c>
      <c r="B296" s="5" t="s">
        <v>42</v>
      </c>
      <c r="C296" s="5" t="s">
        <v>43</v>
      </c>
      <c r="D296" s="10" t="n">
        <v>80000</v>
      </c>
      <c r="E296" s="6" t="n">
        <f aca="false">SUMIFS(Tranzakciók!$E:$E,Tranzakciók!$B:$B,$A296,Tranzakciók!$C:$C,$B296,Tranzakciók!$D:$D,$C296)</f>
        <v>0</v>
      </c>
      <c r="F296" s="6" t="n">
        <f aca="false">IF($B296="BEVÉTEL",E296-D296,D296-E296)</f>
        <v>80000</v>
      </c>
    </row>
    <row r="297" customFormat="false" ht="15" hidden="false" customHeight="false" outlineLevel="0" collapsed="false">
      <c r="A297" s="5" t="s">
        <v>21</v>
      </c>
      <c r="B297" s="5" t="s">
        <v>42</v>
      </c>
      <c r="C297" s="5" t="s">
        <v>104</v>
      </c>
      <c r="D297" s="10" t="n">
        <v>0</v>
      </c>
      <c r="E297" s="6" t="n">
        <f aca="false">SUMIFS(Tranzakciók!$E:$E,Tranzakciók!$B:$B,$A297,Tranzakciók!$C:$C,$B297,Tranzakciók!$D:$D,$C297)</f>
        <v>0</v>
      </c>
      <c r="F297" s="6" t="n">
        <f aca="false">IF($B297="BEVÉTEL",E297-D297,D297-E297)</f>
        <v>0</v>
      </c>
    </row>
    <row r="298" customFormat="false" ht="15" hidden="false" customHeight="false" outlineLevel="0" collapsed="false">
      <c r="A298" s="5" t="s">
        <v>21</v>
      </c>
      <c r="B298" s="5" t="s">
        <v>42</v>
      </c>
      <c r="C298" s="5" t="s">
        <v>44</v>
      </c>
      <c r="D298" s="10" t="n">
        <v>0</v>
      </c>
      <c r="E298" s="6" t="n">
        <f aca="false">SUMIFS(Tranzakciók!$E:$E,Tranzakciók!$B:$B,$A298,Tranzakciók!$C:$C,$B298,Tranzakciók!$D:$D,$C298)</f>
        <v>0</v>
      </c>
      <c r="F298" s="6" t="n">
        <f aca="false">IF($B298="BEVÉTEL",E298-D298,D298-E298)</f>
        <v>0</v>
      </c>
    </row>
    <row r="299" customFormat="false" ht="15" hidden="false" customHeight="false" outlineLevel="0" collapsed="false">
      <c r="A299" s="5" t="s">
        <v>21</v>
      </c>
      <c r="B299" s="5" t="s">
        <v>42</v>
      </c>
      <c r="C299" s="5" t="s">
        <v>41</v>
      </c>
      <c r="D299" s="10" t="n">
        <v>6000</v>
      </c>
      <c r="E299" s="6" t="n">
        <f aca="false">SUMIFS(Tranzakciók!$E:$E,Tranzakciók!$B:$B,$A299,Tranzakciók!$C:$C,$B299,Tranzakciók!$D:$D,$C299)</f>
        <v>0</v>
      </c>
      <c r="F299" s="6" t="n">
        <f aca="false">IF($B299="BEVÉTEL",E299-D299,D299-E299)</f>
        <v>6000</v>
      </c>
    </row>
    <row r="300" customFormat="false" ht="15" hidden="false" customHeight="false" outlineLevel="0" collapsed="false">
      <c r="A300" s="5" t="s">
        <v>21</v>
      </c>
      <c r="B300" s="5" t="s">
        <v>42</v>
      </c>
      <c r="C300" s="5" t="s">
        <v>46</v>
      </c>
      <c r="D300" s="10" t="n">
        <v>0</v>
      </c>
      <c r="E300" s="6" t="n">
        <f aca="false">SUMIFS(Tranzakciók!$E:$E,Tranzakciók!$B:$B,$A300,Tranzakciók!$C:$C,$B300,Tranzakciók!$D:$D,$C300)</f>
        <v>0</v>
      </c>
      <c r="F300" s="6" t="n">
        <f aca="false">IF($B300="BEVÉTEL",E300-D300,D300-E300)</f>
        <v>0</v>
      </c>
    </row>
    <row r="301" customFormat="false" ht="15" hidden="false" customHeight="false" outlineLevel="0" collapsed="false">
      <c r="A301" s="5" t="s">
        <v>21</v>
      </c>
      <c r="B301" s="5" t="s">
        <v>42</v>
      </c>
      <c r="C301" s="5" t="s">
        <v>47</v>
      </c>
      <c r="D301" s="10" t="n">
        <v>15000</v>
      </c>
      <c r="E301" s="6" t="n">
        <f aca="false">SUMIFS(Tranzakciók!$E:$E,Tranzakciók!$B:$B,$A301,Tranzakciók!$C:$C,$B301,Tranzakciók!$D:$D,$C301)</f>
        <v>0</v>
      </c>
      <c r="F301" s="6" t="n">
        <f aca="false">IF($B301="BEVÉTEL",E301-D301,D301-E301)</f>
        <v>15000</v>
      </c>
    </row>
    <row r="302" customFormat="false" ht="15" hidden="false" customHeight="false" outlineLevel="0" collapsed="false">
      <c r="A302" s="5" t="s">
        <v>21</v>
      </c>
      <c r="B302" s="5" t="s">
        <v>48</v>
      </c>
      <c r="C302" s="5" t="s">
        <v>83</v>
      </c>
      <c r="D302" s="10" t="n">
        <v>13900</v>
      </c>
      <c r="E302" s="6" t="n">
        <f aca="false">SUMIFS(Tranzakciók!$E:$E,Tranzakciók!$B:$B,$A302,Tranzakciók!$C:$C,$B302,Tranzakciók!$D:$D,$C302)</f>
        <v>0</v>
      </c>
      <c r="F302" s="6" t="n">
        <f aca="false">IF($B302="BEVÉTEL",E302-D302,D302-E302)</f>
        <v>13900</v>
      </c>
    </row>
    <row r="303" customFormat="false" ht="15" hidden="false" customHeight="false" outlineLevel="0" collapsed="false">
      <c r="A303" s="5" t="s">
        <v>21</v>
      </c>
      <c r="B303" s="5" t="s">
        <v>48</v>
      </c>
      <c r="C303" s="5" t="s">
        <v>115</v>
      </c>
      <c r="D303" s="10" t="n">
        <v>25000</v>
      </c>
      <c r="E303" s="6" t="n">
        <f aca="false">SUMIFS(Tranzakciók!$E:$E,Tranzakciók!$B:$B,$A303,Tranzakciók!$C:$C,$B303,Tranzakciók!$D:$D,$C303)</f>
        <v>0</v>
      </c>
      <c r="F303" s="6" t="n">
        <f aca="false">IF($B303="BEVÉTEL",E303-D303,D303-E303)</f>
        <v>25000</v>
      </c>
    </row>
    <row r="304" customFormat="false" ht="15" hidden="false" customHeight="false" outlineLevel="0" collapsed="false">
      <c r="A304" s="5" t="s">
        <v>21</v>
      </c>
      <c r="B304" s="5" t="s">
        <v>48</v>
      </c>
      <c r="C304" s="5" t="s">
        <v>52</v>
      </c>
      <c r="D304" s="10" t="n">
        <v>10000</v>
      </c>
      <c r="E304" s="6" t="n">
        <f aca="false">SUMIFS(Tranzakciók!$E:$E,Tranzakciók!$B:$B,$A304,Tranzakciók!$C:$C,$B304,Tranzakciók!$D:$D,$C304)</f>
        <v>0</v>
      </c>
      <c r="F304" s="6" t="n">
        <f aca="false">IF($B304="BEVÉTEL",E304-D304,D304-E304)</f>
        <v>10000</v>
      </c>
    </row>
    <row r="305" customFormat="false" ht="15" hidden="false" customHeight="false" outlineLevel="0" collapsed="false">
      <c r="A305" s="5" t="s">
        <v>21</v>
      </c>
      <c r="B305" s="5" t="s">
        <v>53</v>
      </c>
      <c r="C305" s="5" t="s">
        <v>66</v>
      </c>
      <c r="D305" s="10" t="n">
        <v>50000</v>
      </c>
      <c r="E305" s="6" t="n">
        <f aca="false">SUMIFS(Tranzakciók!$E:$E,Tranzakciók!$B:$B,$A305,Tranzakciók!$C:$C,$B305,Tranzakciók!$D:$D,$C305)</f>
        <v>0</v>
      </c>
      <c r="F305" s="6" t="n">
        <f aca="false">IF($B305="BEVÉTEL",E305-D305,D305-E305)</f>
        <v>50000</v>
      </c>
    </row>
    <row r="306" customFormat="false" ht="15" hidden="false" customHeight="false" outlineLevel="0" collapsed="false">
      <c r="A306" s="5" t="s">
        <v>21</v>
      </c>
      <c r="B306" s="5" t="s">
        <v>53</v>
      </c>
      <c r="C306" s="5" t="s">
        <v>68</v>
      </c>
      <c r="D306" s="10" t="n">
        <v>50000</v>
      </c>
      <c r="E306" s="6" t="n">
        <f aca="false">SUMIFS(Tranzakciók!$E:$E,Tranzakciók!$B:$B,$A306,Tranzakciók!$C:$C,$B306,Tranzakciók!$D:$D,$C306)</f>
        <v>0</v>
      </c>
      <c r="F306" s="6" t="n">
        <f aca="false">IF($B306="BEVÉTEL",E306-D306,D306-E306)</f>
        <v>50000</v>
      </c>
    </row>
    <row r="307" customFormat="false" ht="15" hidden="false" customHeight="false" outlineLevel="0" collapsed="false">
      <c r="A307" s="5" t="s">
        <v>21</v>
      </c>
      <c r="B307" s="5" t="s">
        <v>53</v>
      </c>
      <c r="C307" s="5" t="s">
        <v>125</v>
      </c>
      <c r="D307" s="10" t="n">
        <v>50000</v>
      </c>
      <c r="E307" s="6" t="n">
        <f aca="false">SUMIFS(Tranzakciók!$E:$E,Tranzakciók!$B:$B,$A307,Tranzakciók!$C:$C,$B307,Tranzakciók!$D:$D,$C307)</f>
        <v>0</v>
      </c>
      <c r="F307" s="6" t="n">
        <f aca="false">IF($B307="BEVÉTEL",E307-D307,D307-E307)</f>
        <v>50000</v>
      </c>
    </row>
    <row r="308" customFormat="false" ht="15" hidden="false" customHeight="false" outlineLevel="0" collapsed="false">
      <c r="A308" s="5" t="s">
        <v>21</v>
      </c>
      <c r="B308" s="5" t="s">
        <v>60</v>
      </c>
      <c r="C308" s="5" t="s">
        <v>61</v>
      </c>
      <c r="D308" s="10" t="n">
        <v>90000</v>
      </c>
      <c r="E308" s="6" t="n">
        <f aca="false">SUMIFS(Tranzakciók!$E:$E,Tranzakciók!$B:$B,$A308,Tranzakciók!$C:$C,$B308,Tranzakciók!$D:$D,$C308)</f>
        <v>0</v>
      </c>
      <c r="F308" s="6" t="n">
        <f aca="false">IF($B308="BEVÉTEL",E308-D308,D308-E308)</f>
        <v>90000</v>
      </c>
    </row>
  </sheetData>
  <autoFilter ref="A1:F3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9" t="s">
        <v>126</v>
      </c>
      <c r="B1" s="9" t="s">
        <v>2</v>
      </c>
      <c r="C1" s="9" t="s">
        <v>23</v>
      </c>
      <c r="D1" s="9" t="s">
        <v>24</v>
      </c>
      <c r="E1" s="9" t="s">
        <v>127</v>
      </c>
      <c r="F1" s="9" t="s">
        <v>128</v>
      </c>
      <c r="G1" s="9" t="s">
        <v>129</v>
      </c>
    </row>
    <row r="2" customFormat="false" ht="15" hidden="false" customHeight="false" outlineLevel="0" collapsed="false">
      <c r="A2" s="11" t="n">
        <v>46023</v>
      </c>
      <c r="B2" s="5" t="s">
        <v>10</v>
      </c>
      <c r="C2" s="5" t="s">
        <v>28</v>
      </c>
      <c r="D2" s="5" t="s">
        <v>29</v>
      </c>
      <c r="E2" s="10" t="n">
        <v>497150</v>
      </c>
      <c r="F2" s="12" t="s">
        <v>130</v>
      </c>
      <c r="G2" s="13" t="s">
        <v>131</v>
      </c>
    </row>
    <row r="3" customFormat="false" ht="15" hidden="false" customHeight="false" outlineLevel="0" collapsed="false">
      <c r="A3" s="11" t="n">
        <v>46023</v>
      </c>
      <c r="B3" s="5" t="s">
        <v>10</v>
      </c>
      <c r="C3" s="5" t="s">
        <v>31</v>
      </c>
      <c r="D3" s="5" t="s">
        <v>32</v>
      </c>
      <c r="E3" s="10" t="n">
        <v>90000</v>
      </c>
      <c r="F3" s="12" t="s">
        <v>130</v>
      </c>
      <c r="G3" s="13" t="s">
        <v>132</v>
      </c>
    </row>
    <row r="4" customFormat="false" ht="15" hidden="false" customHeight="false" outlineLevel="0" collapsed="false">
      <c r="A4" s="11" t="n">
        <v>46023</v>
      </c>
      <c r="B4" s="5" t="s">
        <v>10</v>
      </c>
      <c r="C4" s="5" t="s">
        <v>31</v>
      </c>
      <c r="D4" s="5" t="s">
        <v>33</v>
      </c>
      <c r="E4" s="10" t="n">
        <v>15680</v>
      </c>
      <c r="F4" s="12" t="s">
        <v>130</v>
      </c>
      <c r="G4" s="13" t="s">
        <v>133</v>
      </c>
    </row>
    <row r="5" customFormat="false" ht="15" hidden="false" customHeight="false" outlineLevel="0" collapsed="false">
      <c r="A5" s="11" t="n">
        <v>46023</v>
      </c>
      <c r="B5" s="5" t="s">
        <v>10</v>
      </c>
      <c r="C5" s="5" t="s">
        <v>31</v>
      </c>
      <c r="D5" s="5" t="s">
        <v>34</v>
      </c>
      <c r="E5" s="10" t="n">
        <v>14385</v>
      </c>
      <c r="F5" s="12" t="s">
        <v>130</v>
      </c>
      <c r="G5" s="13" t="s">
        <v>134</v>
      </c>
    </row>
    <row r="6" customFormat="false" ht="15" hidden="false" customHeight="false" outlineLevel="0" collapsed="false">
      <c r="A6" s="11" t="n">
        <v>46023</v>
      </c>
      <c r="B6" s="5" t="s">
        <v>10</v>
      </c>
      <c r="C6" s="5" t="s">
        <v>31</v>
      </c>
      <c r="D6" s="5" t="s">
        <v>37</v>
      </c>
      <c r="E6" s="10" t="n">
        <v>2990</v>
      </c>
      <c r="F6" s="12" t="s">
        <v>130</v>
      </c>
      <c r="G6" s="13" t="s">
        <v>135</v>
      </c>
    </row>
    <row r="7" customFormat="false" ht="15" hidden="false" customHeight="false" outlineLevel="0" collapsed="false">
      <c r="A7" s="11" t="n">
        <v>46023</v>
      </c>
      <c r="B7" s="5" t="s">
        <v>10</v>
      </c>
      <c r="C7" s="5" t="s">
        <v>31</v>
      </c>
      <c r="D7" s="5" t="s">
        <v>38</v>
      </c>
      <c r="E7" s="10" t="n">
        <v>23000</v>
      </c>
      <c r="F7" s="12" t="s">
        <v>130</v>
      </c>
      <c r="G7" s="13" t="s">
        <v>136</v>
      </c>
    </row>
    <row r="8" customFormat="false" ht="15" hidden="false" customHeight="false" outlineLevel="0" collapsed="false">
      <c r="A8" s="11" t="n">
        <v>46023</v>
      </c>
      <c r="B8" s="5" t="s">
        <v>10</v>
      </c>
      <c r="C8" s="5" t="s">
        <v>42</v>
      </c>
      <c r="D8" s="5" t="s">
        <v>43</v>
      </c>
      <c r="E8" s="10" t="n">
        <v>10085</v>
      </c>
      <c r="F8" s="12" t="s">
        <v>130</v>
      </c>
      <c r="G8" s="13" t="s">
        <v>137</v>
      </c>
    </row>
    <row r="9" customFormat="false" ht="15" hidden="false" customHeight="false" outlineLevel="0" collapsed="false">
      <c r="A9" s="11" t="n">
        <v>46023</v>
      </c>
      <c r="B9" s="5" t="s">
        <v>10</v>
      </c>
      <c r="C9" s="5" t="s">
        <v>42</v>
      </c>
      <c r="D9" s="5" t="s">
        <v>46</v>
      </c>
      <c r="E9" s="10" t="n">
        <v>15000</v>
      </c>
      <c r="F9" s="12" t="s">
        <v>130</v>
      </c>
      <c r="G9" s="13" t="s">
        <v>138</v>
      </c>
    </row>
    <row r="10" customFormat="false" ht="15" hidden="false" customHeight="false" outlineLevel="0" collapsed="false">
      <c r="A10" s="11" t="n">
        <v>46023</v>
      </c>
      <c r="B10" s="5" t="s">
        <v>10</v>
      </c>
      <c r="C10" s="5" t="s">
        <v>42</v>
      </c>
      <c r="D10" s="5" t="s">
        <v>47</v>
      </c>
      <c r="E10" s="10" t="n">
        <v>15000</v>
      </c>
      <c r="F10" s="12" t="s">
        <v>130</v>
      </c>
      <c r="G10" s="13" t="s">
        <v>139</v>
      </c>
    </row>
    <row r="11" customFormat="false" ht="15" hidden="false" customHeight="false" outlineLevel="0" collapsed="false">
      <c r="A11" s="11" t="n">
        <v>46023</v>
      </c>
      <c r="B11" s="5" t="s">
        <v>10</v>
      </c>
      <c r="C11" s="5" t="s">
        <v>48</v>
      </c>
      <c r="D11" s="5" t="s">
        <v>50</v>
      </c>
      <c r="E11" s="10" t="n">
        <v>16500</v>
      </c>
      <c r="F11" s="12" t="s">
        <v>130</v>
      </c>
      <c r="G11" s="13" t="s">
        <v>140</v>
      </c>
    </row>
    <row r="12" customFormat="false" ht="15" hidden="false" customHeight="false" outlineLevel="0" collapsed="false">
      <c r="A12" s="11" t="n">
        <v>46023</v>
      </c>
      <c r="B12" s="5" t="s">
        <v>10</v>
      </c>
      <c r="C12" s="5" t="s">
        <v>53</v>
      </c>
      <c r="D12" s="5" t="s">
        <v>54</v>
      </c>
      <c r="E12" s="10" t="n">
        <v>45000</v>
      </c>
      <c r="F12" s="12" t="s">
        <v>130</v>
      </c>
      <c r="G12" s="13" t="s">
        <v>141</v>
      </c>
    </row>
    <row r="13" customFormat="false" ht="15" hidden="false" customHeight="false" outlineLevel="0" collapsed="false">
      <c r="A13" s="11" t="n">
        <v>46023</v>
      </c>
      <c r="B13" s="5" t="s">
        <v>10</v>
      </c>
      <c r="C13" s="5" t="s">
        <v>53</v>
      </c>
      <c r="D13" s="5" t="s">
        <v>55</v>
      </c>
      <c r="E13" s="10" t="n">
        <v>15000</v>
      </c>
      <c r="F13" s="12" t="s">
        <v>130</v>
      </c>
      <c r="G13" s="13" t="s">
        <v>142</v>
      </c>
    </row>
    <row r="14" customFormat="false" ht="15" hidden="false" customHeight="false" outlineLevel="0" collapsed="false">
      <c r="A14" s="11" t="n">
        <v>46023</v>
      </c>
      <c r="B14" s="5" t="s">
        <v>10</v>
      </c>
      <c r="C14" s="5" t="s">
        <v>53</v>
      </c>
      <c r="D14" s="5" t="s">
        <v>56</v>
      </c>
      <c r="E14" s="10" t="n">
        <v>10000</v>
      </c>
      <c r="F14" s="12" t="s">
        <v>130</v>
      </c>
      <c r="G14" s="13" t="s">
        <v>143</v>
      </c>
    </row>
    <row r="15" customFormat="false" ht="15" hidden="false" customHeight="false" outlineLevel="0" collapsed="false">
      <c r="A15" s="11" t="n">
        <v>46023</v>
      </c>
      <c r="B15" s="5" t="s">
        <v>10</v>
      </c>
      <c r="C15" s="5" t="s">
        <v>53</v>
      </c>
      <c r="D15" s="5" t="s">
        <v>57</v>
      </c>
      <c r="E15" s="10" t="n">
        <v>15000</v>
      </c>
      <c r="F15" s="12" t="s">
        <v>130</v>
      </c>
      <c r="G15" s="13" t="s">
        <v>144</v>
      </c>
    </row>
    <row r="16" customFormat="false" ht="15" hidden="false" customHeight="false" outlineLevel="0" collapsed="false">
      <c r="A16" s="11" t="n">
        <v>46023</v>
      </c>
      <c r="B16" s="5" t="s">
        <v>10</v>
      </c>
      <c r="C16" s="5" t="s">
        <v>53</v>
      </c>
      <c r="D16" s="5" t="s">
        <v>58</v>
      </c>
      <c r="E16" s="10" t="n">
        <v>87000</v>
      </c>
      <c r="F16" s="12" t="s">
        <v>130</v>
      </c>
      <c r="G16" s="13" t="s">
        <v>145</v>
      </c>
    </row>
    <row r="17" customFormat="false" ht="15" hidden="false" customHeight="false" outlineLevel="0" collapsed="false">
      <c r="A17" s="11" t="n">
        <v>46023</v>
      </c>
      <c r="B17" s="5" t="s">
        <v>10</v>
      </c>
      <c r="C17" s="5" t="s">
        <v>53</v>
      </c>
      <c r="D17" s="5" t="s">
        <v>59</v>
      </c>
      <c r="E17" s="10" t="n">
        <v>35000</v>
      </c>
      <c r="F17" s="12" t="s">
        <v>130</v>
      </c>
      <c r="G17" s="13" t="s">
        <v>146</v>
      </c>
    </row>
    <row r="18" customFormat="false" ht="15" hidden="false" customHeight="false" outlineLevel="0" collapsed="false">
      <c r="A18" s="11" t="n">
        <v>46023</v>
      </c>
      <c r="B18" s="5" t="s">
        <v>10</v>
      </c>
      <c r="C18" s="5" t="s">
        <v>60</v>
      </c>
      <c r="D18" s="5" t="s">
        <v>62</v>
      </c>
      <c r="E18" s="10" t="n">
        <v>467</v>
      </c>
      <c r="F18" s="12" t="s">
        <v>130</v>
      </c>
      <c r="G18" s="13" t="s">
        <v>147</v>
      </c>
    </row>
    <row r="19" customFormat="false" ht="15" hidden="false" customHeight="false" outlineLevel="0" collapsed="false">
      <c r="A19" s="11" t="n">
        <v>46054</v>
      </c>
      <c r="B19" s="5" t="s">
        <v>11</v>
      </c>
      <c r="C19" s="5" t="s">
        <v>28</v>
      </c>
      <c r="D19" s="5" t="s">
        <v>29</v>
      </c>
      <c r="E19" s="10" t="n">
        <v>497150</v>
      </c>
      <c r="F19" s="12" t="s">
        <v>130</v>
      </c>
      <c r="G19" s="13" t="s">
        <v>148</v>
      </c>
    </row>
    <row r="20" customFormat="false" ht="15" hidden="false" customHeight="false" outlineLevel="0" collapsed="false">
      <c r="A20" s="11" t="n">
        <v>46054</v>
      </c>
      <c r="B20" s="5" t="s">
        <v>11</v>
      </c>
      <c r="C20" s="5" t="s">
        <v>28</v>
      </c>
      <c r="D20" s="5" t="s">
        <v>30</v>
      </c>
      <c r="E20" s="10" t="n">
        <v>25000</v>
      </c>
      <c r="F20" s="12" t="s">
        <v>130</v>
      </c>
      <c r="G20" s="13" t="s">
        <v>149</v>
      </c>
    </row>
    <row r="21" customFormat="false" ht="15" hidden="false" customHeight="false" outlineLevel="0" collapsed="false">
      <c r="A21" s="11" t="n">
        <v>46054</v>
      </c>
      <c r="B21" s="5" t="s">
        <v>11</v>
      </c>
      <c r="C21" s="5" t="s">
        <v>31</v>
      </c>
      <c r="D21" s="5" t="s">
        <v>32</v>
      </c>
      <c r="E21" s="10" t="n">
        <v>90000</v>
      </c>
      <c r="F21" s="12" t="s">
        <v>130</v>
      </c>
      <c r="G21" s="13" t="s">
        <v>150</v>
      </c>
    </row>
    <row r="22" customFormat="false" ht="15" hidden="false" customHeight="false" outlineLevel="0" collapsed="false">
      <c r="A22" s="11" t="n">
        <v>46054</v>
      </c>
      <c r="B22" s="5" t="s">
        <v>11</v>
      </c>
      <c r="C22" s="5" t="s">
        <v>31</v>
      </c>
      <c r="D22" s="5" t="s">
        <v>33</v>
      </c>
      <c r="E22" s="10" t="n">
        <v>18026</v>
      </c>
      <c r="F22" s="12" t="s">
        <v>130</v>
      </c>
      <c r="G22" s="13" t="s">
        <v>151</v>
      </c>
    </row>
    <row r="23" customFormat="false" ht="15" hidden="false" customHeight="false" outlineLevel="0" collapsed="false">
      <c r="A23" s="11" t="n">
        <v>46054</v>
      </c>
      <c r="B23" s="5" t="s">
        <v>11</v>
      </c>
      <c r="C23" s="5" t="s">
        <v>31</v>
      </c>
      <c r="D23" s="5" t="s">
        <v>34</v>
      </c>
      <c r="E23" s="10" t="n">
        <v>14385</v>
      </c>
      <c r="F23" s="12" t="s">
        <v>130</v>
      </c>
      <c r="G23" s="13" t="s">
        <v>152</v>
      </c>
    </row>
    <row r="24" customFormat="false" ht="15" hidden="false" customHeight="false" outlineLevel="0" collapsed="false">
      <c r="A24" s="11" t="n">
        <v>46054</v>
      </c>
      <c r="B24" s="5" t="s">
        <v>11</v>
      </c>
      <c r="C24" s="5" t="s">
        <v>31</v>
      </c>
      <c r="D24" s="5" t="s">
        <v>63</v>
      </c>
      <c r="E24" s="10" t="n">
        <v>4790</v>
      </c>
      <c r="F24" s="12" t="s">
        <v>130</v>
      </c>
      <c r="G24" s="13" t="s">
        <v>153</v>
      </c>
    </row>
    <row r="25" customFormat="false" ht="15" hidden="false" customHeight="false" outlineLevel="0" collapsed="false">
      <c r="A25" s="11" t="n">
        <v>46054</v>
      </c>
      <c r="B25" s="5" t="s">
        <v>11</v>
      </c>
      <c r="C25" s="5" t="s">
        <v>31</v>
      </c>
      <c r="D25" s="5" t="s">
        <v>36</v>
      </c>
      <c r="E25" s="10" t="n">
        <v>1990</v>
      </c>
      <c r="F25" s="12" t="s">
        <v>130</v>
      </c>
      <c r="G25" s="13" t="s">
        <v>154</v>
      </c>
    </row>
    <row r="26" customFormat="false" ht="15" hidden="false" customHeight="false" outlineLevel="0" collapsed="false">
      <c r="A26" s="11" t="n">
        <v>46054</v>
      </c>
      <c r="B26" s="5" t="s">
        <v>11</v>
      </c>
      <c r="C26" s="5" t="s">
        <v>31</v>
      </c>
      <c r="D26" s="5" t="s">
        <v>37</v>
      </c>
      <c r="E26" s="10" t="n">
        <v>3990</v>
      </c>
      <c r="F26" s="12" t="s">
        <v>130</v>
      </c>
      <c r="G26" s="13" t="s">
        <v>155</v>
      </c>
    </row>
    <row r="27" customFormat="false" ht="15" hidden="false" customHeight="false" outlineLevel="0" collapsed="false">
      <c r="A27" s="11" t="n">
        <v>46054</v>
      </c>
      <c r="B27" s="5" t="s">
        <v>11</v>
      </c>
      <c r="C27" s="5" t="s">
        <v>39</v>
      </c>
      <c r="D27" s="5" t="s">
        <v>40</v>
      </c>
      <c r="E27" s="10" t="n">
        <v>8950</v>
      </c>
      <c r="F27" s="12" t="s">
        <v>130</v>
      </c>
      <c r="G27" s="13" t="s">
        <v>156</v>
      </c>
    </row>
    <row r="28" customFormat="false" ht="15" hidden="false" customHeight="false" outlineLevel="0" collapsed="false">
      <c r="A28" s="11" t="n">
        <v>46054</v>
      </c>
      <c r="B28" s="5" t="s">
        <v>11</v>
      </c>
      <c r="C28" s="5" t="s">
        <v>42</v>
      </c>
      <c r="D28" s="5" t="s">
        <v>43</v>
      </c>
      <c r="E28" s="10" t="n">
        <v>2687</v>
      </c>
      <c r="F28" s="12" t="s">
        <v>130</v>
      </c>
      <c r="G28" s="13" t="s">
        <v>157</v>
      </c>
    </row>
    <row r="29" customFormat="false" ht="15" hidden="false" customHeight="false" outlineLevel="0" collapsed="false">
      <c r="A29" s="11" t="n">
        <v>46054</v>
      </c>
      <c r="B29" s="5" t="s">
        <v>11</v>
      </c>
      <c r="C29" s="5" t="s">
        <v>42</v>
      </c>
      <c r="D29" s="5" t="s">
        <v>43</v>
      </c>
      <c r="E29" s="10" t="n">
        <v>1719</v>
      </c>
      <c r="F29" s="12" t="s">
        <v>130</v>
      </c>
      <c r="G29" s="13" t="s">
        <v>158</v>
      </c>
    </row>
    <row r="30" customFormat="false" ht="15" hidden="false" customHeight="false" outlineLevel="0" collapsed="false">
      <c r="A30" s="11" t="n">
        <v>46054</v>
      </c>
      <c r="B30" s="5" t="s">
        <v>11</v>
      </c>
      <c r="C30" s="5" t="s">
        <v>42</v>
      </c>
      <c r="D30" s="5" t="s">
        <v>46</v>
      </c>
      <c r="E30" s="10" t="n">
        <v>1414</v>
      </c>
      <c r="F30" s="12" t="s">
        <v>130</v>
      </c>
      <c r="G30" s="13" t="s">
        <v>159</v>
      </c>
    </row>
    <row r="31" customFormat="false" ht="15" hidden="false" customHeight="false" outlineLevel="0" collapsed="false">
      <c r="A31" s="11" t="n">
        <v>46054</v>
      </c>
      <c r="B31" s="5" t="s">
        <v>11</v>
      </c>
      <c r="C31" s="5" t="s">
        <v>42</v>
      </c>
      <c r="D31" s="5" t="s">
        <v>46</v>
      </c>
      <c r="E31" s="10" t="n">
        <v>2897</v>
      </c>
      <c r="F31" s="12" t="s">
        <v>130</v>
      </c>
      <c r="G31" s="13" t="s">
        <v>160</v>
      </c>
    </row>
    <row r="32" customFormat="false" ht="15" hidden="false" customHeight="false" outlineLevel="0" collapsed="false">
      <c r="A32" s="11" t="n">
        <v>46054</v>
      </c>
      <c r="B32" s="5" t="s">
        <v>11</v>
      </c>
      <c r="C32" s="5" t="s">
        <v>42</v>
      </c>
      <c r="D32" s="5" t="s">
        <v>46</v>
      </c>
      <c r="E32" s="10" t="n">
        <v>1545</v>
      </c>
      <c r="F32" s="12" t="s">
        <v>130</v>
      </c>
      <c r="G32" s="13" t="s">
        <v>161</v>
      </c>
    </row>
    <row r="33" customFormat="false" ht="15" hidden="false" customHeight="false" outlineLevel="0" collapsed="false">
      <c r="A33" s="11" t="n">
        <v>46054</v>
      </c>
      <c r="B33" s="5" t="s">
        <v>11</v>
      </c>
      <c r="C33" s="5" t="s">
        <v>42</v>
      </c>
      <c r="D33" s="5" t="s">
        <v>46</v>
      </c>
      <c r="E33" s="10" t="n">
        <v>2574</v>
      </c>
      <c r="F33" s="12" t="s">
        <v>130</v>
      </c>
      <c r="G33" s="13" t="s">
        <v>162</v>
      </c>
    </row>
    <row r="34" customFormat="false" ht="15" hidden="false" customHeight="false" outlineLevel="0" collapsed="false">
      <c r="A34" s="11" t="n">
        <v>46054</v>
      </c>
      <c r="B34" s="5" t="s">
        <v>11</v>
      </c>
      <c r="C34" s="5" t="s">
        <v>42</v>
      </c>
      <c r="D34" s="5" t="s">
        <v>46</v>
      </c>
      <c r="E34" s="10" t="n">
        <v>2049</v>
      </c>
      <c r="F34" s="12" t="s">
        <v>130</v>
      </c>
      <c r="G34" s="13" t="s">
        <v>163</v>
      </c>
    </row>
    <row r="35" customFormat="false" ht="15" hidden="false" customHeight="false" outlineLevel="0" collapsed="false">
      <c r="A35" s="11" t="n">
        <v>46054</v>
      </c>
      <c r="B35" s="5" t="s">
        <v>11</v>
      </c>
      <c r="C35" s="5" t="s">
        <v>48</v>
      </c>
      <c r="D35" s="5" t="s">
        <v>50</v>
      </c>
      <c r="E35" s="10" t="n">
        <v>22000</v>
      </c>
      <c r="F35" s="12" t="s">
        <v>130</v>
      </c>
      <c r="G35" s="13" t="s">
        <v>164</v>
      </c>
    </row>
    <row r="36" customFormat="false" ht="15" hidden="false" customHeight="false" outlineLevel="0" collapsed="false">
      <c r="A36" s="11" t="n">
        <v>46054</v>
      </c>
      <c r="B36" s="5" t="s">
        <v>11</v>
      </c>
      <c r="C36" s="5" t="s">
        <v>53</v>
      </c>
      <c r="D36" s="5" t="s">
        <v>65</v>
      </c>
      <c r="E36" s="10" t="n">
        <v>22272</v>
      </c>
      <c r="F36" s="12" t="s">
        <v>130</v>
      </c>
      <c r="G36" s="13" t="s">
        <v>165</v>
      </c>
    </row>
    <row r="37" customFormat="false" ht="15" hidden="false" customHeight="false" outlineLevel="0" collapsed="false">
      <c r="A37" s="11" t="n">
        <v>46054</v>
      </c>
      <c r="B37" s="5" t="s">
        <v>11</v>
      </c>
      <c r="C37" s="5" t="s">
        <v>53</v>
      </c>
      <c r="D37" s="5" t="s">
        <v>66</v>
      </c>
      <c r="E37" s="10" t="n">
        <v>52000</v>
      </c>
      <c r="F37" s="12" t="s">
        <v>130</v>
      </c>
      <c r="G37" s="13" t="s">
        <v>166</v>
      </c>
    </row>
    <row r="38" customFormat="false" ht="15" hidden="false" customHeight="false" outlineLevel="0" collapsed="false">
      <c r="A38" s="11" t="n">
        <v>46054</v>
      </c>
      <c r="B38" s="5" t="s">
        <v>11</v>
      </c>
      <c r="C38" s="5" t="s">
        <v>53</v>
      </c>
      <c r="D38" s="5" t="s">
        <v>67</v>
      </c>
      <c r="E38" s="10" t="n">
        <v>40466</v>
      </c>
      <c r="F38" s="12" t="s">
        <v>130</v>
      </c>
      <c r="G38" s="13" t="s">
        <v>167</v>
      </c>
    </row>
    <row r="39" customFormat="false" ht="15" hidden="false" customHeight="false" outlineLevel="0" collapsed="false">
      <c r="A39" s="11" t="n">
        <v>46054</v>
      </c>
      <c r="B39" s="5" t="s">
        <v>11</v>
      </c>
      <c r="C39" s="5" t="s">
        <v>53</v>
      </c>
      <c r="D39" s="5" t="s">
        <v>68</v>
      </c>
      <c r="E39" s="10" t="n">
        <v>40000</v>
      </c>
      <c r="F39" s="12" t="s">
        <v>130</v>
      </c>
      <c r="G39" s="13" t="s">
        <v>168</v>
      </c>
    </row>
    <row r="40" customFormat="false" ht="15" hidden="false" customHeight="false" outlineLevel="0" collapsed="false">
      <c r="A40" s="11" t="n">
        <v>46054</v>
      </c>
      <c r="B40" s="5" t="s">
        <v>11</v>
      </c>
      <c r="C40" s="5" t="s">
        <v>60</v>
      </c>
      <c r="D40" s="5" t="s">
        <v>61</v>
      </c>
      <c r="E40" s="10" t="n">
        <v>80000</v>
      </c>
      <c r="F40" s="12" t="s">
        <v>130</v>
      </c>
      <c r="G40" s="13" t="s">
        <v>169</v>
      </c>
    </row>
    <row r="41" customFormat="false" ht="15" hidden="false" customHeight="false" outlineLevel="0" collapsed="false">
      <c r="A41" s="11" t="n">
        <v>46082</v>
      </c>
      <c r="B41" s="5" t="s">
        <v>12</v>
      </c>
      <c r="C41" s="5" t="s">
        <v>28</v>
      </c>
      <c r="D41" s="5" t="s">
        <v>29</v>
      </c>
      <c r="E41" s="10" t="n">
        <v>497150</v>
      </c>
      <c r="F41" s="12" t="s">
        <v>130</v>
      </c>
      <c r="G41" s="13" t="s">
        <v>170</v>
      </c>
    </row>
    <row r="42" customFormat="false" ht="15" hidden="false" customHeight="false" outlineLevel="0" collapsed="false">
      <c r="A42" s="11" t="n">
        <v>46082</v>
      </c>
      <c r="B42" s="5" t="s">
        <v>12</v>
      </c>
      <c r="C42" s="5" t="s">
        <v>28</v>
      </c>
      <c r="D42" s="5" t="s">
        <v>30</v>
      </c>
      <c r="E42" s="10" t="n">
        <v>44010</v>
      </c>
      <c r="F42" s="12" t="s">
        <v>130</v>
      </c>
      <c r="G42" s="13" t="s">
        <v>171</v>
      </c>
    </row>
    <row r="43" customFormat="false" ht="15" hidden="false" customHeight="false" outlineLevel="0" collapsed="false">
      <c r="A43" s="11" t="n">
        <v>46082</v>
      </c>
      <c r="B43" s="5" t="s">
        <v>12</v>
      </c>
      <c r="C43" s="5" t="s">
        <v>31</v>
      </c>
      <c r="D43" s="5" t="s">
        <v>32</v>
      </c>
      <c r="E43" s="10" t="n">
        <v>90000</v>
      </c>
      <c r="F43" s="12" t="s">
        <v>130</v>
      </c>
      <c r="G43" s="13" t="s">
        <v>172</v>
      </c>
    </row>
    <row r="44" customFormat="false" ht="15" hidden="false" customHeight="false" outlineLevel="0" collapsed="false">
      <c r="A44" s="11" t="n">
        <v>46082</v>
      </c>
      <c r="B44" s="5" t="s">
        <v>12</v>
      </c>
      <c r="C44" s="5" t="s">
        <v>31</v>
      </c>
      <c r="D44" s="5" t="s">
        <v>33</v>
      </c>
      <c r="E44" s="10" t="n">
        <v>16860</v>
      </c>
      <c r="F44" s="12" t="s">
        <v>130</v>
      </c>
      <c r="G44" s="13" t="s">
        <v>173</v>
      </c>
    </row>
    <row r="45" customFormat="false" ht="15" hidden="false" customHeight="false" outlineLevel="0" collapsed="false">
      <c r="A45" s="11" t="n">
        <v>46082</v>
      </c>
      <c r="B45" s="5" t="s">
        <v>12</v>
      </c>
      <c r="C45" s="5" t="s">
        <v>31</v>
      </c>
      <c r="D45" s="5" t="s">
        <v>34</v>
      </c>
      <c r="E45" s="10" t="n">
        <v>14405</v>
      </c>
      <c r="F45" s="12" t="s">
        <v>130</v>
      </c>
      <c r="G45" s="13" t="s">
        <v>174</v>
      </c>
    </row>
    <row r="46" customFormat="false" ht="15" hidden="false" customHeight="false" outlineLevel="0" collapsed="false">
      <c r="A46" s="11" t="n">
        <v>46082</v>
      </c>
      <c r="B46" s="5" t="s">
        <v>12</v>
      </c>
      <c r="C46" s="5" t="s">
        <v>31</v>
      </c>
      <c r="D46" s="5" t="s">
        <v>63</v>
      </c>
      <c r="E46" s="10" t="n">
        <v>4790</v>
      </c>
      <c r="F46" s="12" t="s">
        <v>130</v>
      </c>
      <c r="G46" s="13" t="s">
        <v>175</v>
      </c>
    </row>
    <row r="47" customFormat="false" ht="15" hidden="false" customHeight="false" outlineLevel="0" collapsed="false">
      <c r="A47" s="11" t="n">
        <v>46082</v>
      </c>
      <c r="B47" s="5" t="s">
        <v>12</v>
      </c>
      <c r="C47" s="5" t="s">
        <v>31</v>
      </c>
      <c r="D47" s="5" t="s">
        <v>36</v>
      </c>
      <c r="E47" s="10" t="n">
        <v>2790</v>
      </c>
      <c r="F47" s="12" t="s">
        <v>130</v>
      </c>
      <c r="G47" s="13" t="s">
        <v>176</v>
      </c>
    </row>
    <row r="48" customFormat="false" ht="15" hidden="false" customHeight="false" outlineLevel="0" collapsed="false">
      <c r="A48" s="11" t="n">
        <v>46082</v>
      </c>
      <c r="B48" s="5" t="s">
        <v>12</v>
      </c>
      <c r="C48" s="5" t="s">
        <v>31</v>
      </c>
      <c r="D48" s="5" t="s">
        <v>37</v>
      </c>
      <c r="E48" s="10" t="n">
        <v>3990</v>
      </c>
      <c r="F48" s="12" t="s">
        <v>130</v>
      </c>
      <c r="G48" s="13" t="s">
        <v>177</v>
      </c>
    </row>
    <row r="49" customFormat="false" ht="15" hidden="false" customHeight="false" outlineLevel="0" collapsed="false">
      <c r="A49" s="11" t="n">
        <v>46082</v>
      </c>
      <c r="B49" s="5" t="s">
        <v>12</v>
      </c>
      <c r="C49" s="5" t="s">
        <v>39</v>
      </c>
      <c r="D49" s="5" t="s">
        <v>69</v>
      </c>
      <c r="E49" s="10" t="n">
        <v>18731</v>
      </c>
      <c r="F49" s="12" t="s">
        <v>130</v>
      </c>
      <c r="G49" s="13" t="s">
        <v>178</v>
      </c>
    </row>
    <row r="50" customFormat="false" ht="15" hidden="false" customHeight="false" outlineLevel="0" collapsed="false">
      <c r="A50" s="11" t="n">
        <v>46082</v>
      </c>
      <c r="B50" s="5" t="s">
        <v>12</v>
      </c>
      <c r="C50" s="5" t="s">
        <v>39</v>
      </c>
      <c r="D50" s="5" t="s">
        <v>41</v>
      </c>
      <c r="E50" s="10" t="n">
        <v>10000</v>
      </c>
      <c r="F50" s="12" t="s">
        <v>130</v>
      </c>
      <c r="G50" s="13" t="s">
        <v>179</v>
      </c>
    </row>
    <row r="51" customFormat="false" ht="15" hidden="false" customHeight="false" outlineLevel="0" collapsed="false">
      <c r="A51" s="11" t="n">
        <v>46082</v>
      </c>
      <c r="B51" s="5" t="s">
        <v>12</v>
      </c>
      <c r="C51" s="5" t="s">
        <v>42</v>
      </c>
      <c r="D51" s="5" t="s">
        <v>43</v>
      </c>
      <c r="E51" s="10" t="n">
        <v>95684</v>
      </c>
      <c r="F51" s="12" t="s">
        <v>130</v>
      </c>
      <c r="G51" s="13" t="s">
        <v>180</v>
      </c>
    </row>
    <row r="52" customFormat="false" ht="15" hidden="false" customHeight="false" outlineLevel="0" collapsed="false">
      <c r="A52" s="11" t="n">
        <v>46082</v>
      </c>
      <c r="B52" s="5" t="s">
        <v>12</v>
      </c>
      <c r="C52" s="5" t="s">
        <v>42</v>
      </c>
      <c r="D52" s="5" t="s">
        <v>47</v>
      </c>
      <c r="E52" s="10" t="n">
        <v>14500</v>
      </c>
      <c r="F52" s="12" t="s">
        <v>130</v>
      </c>
      <c r="G52" s="13" t="s">
        <v>181</v>
      </c>
    </row>
    <row r="53" customFormat="false" ht="15" hidden="false" customHeight="false" outlineLevel="0" collapsed="false">
      <c r="A53" s="11" t="n">
        <v>46082</v>
      </c>
      <c r="B53" s="5" t="s">
        <v>12</v>
      </c>
      <c r="C53" s="5" t="s">
        <v>48</v>
      </c>
      <c r="D53" s="5" t="s">
        <v>49</v>
      </c>
      <c r="E53" s="10" t="n">
        <v>4400</v>
      </c>
      <c r="F53" s="12" t="s">
        <v>130</v>
      </c>
      <c r="G53" s="13" t="s">
        <v>182</v>
      </c>
    </row>
    <row r="54" customFormat="false" ht="15" hidden="false" customHeight="false" outlineLevel="0" collapsed="false">
      <c r="A54" s="11" t="n">
        <v>46082</v>
      </c>
      <c r="B54" s="5" t="s">
        <v>12</v>
      </c>
      <c r="C54" s="5" t="s">
        <v>48</v>
      </c>
      <c r="D54" s="5" t="s">
        <v>50</v>
      </c>
      <c r="E54" s="10" t="n">
        <v>24000</v>
      </c>
      <c r="F54" s="12" t="s">
        <v>130</v>
      </c>
      <c r="G54" s="13" t="s">
        <v>183</v>
      </c>
    </row>
    <row r="55" customFormat="false" ht="15" hidden="false" customHeight="false" outlineLevel="0" collapsed="false">
      <c r="A55" s="11" t="n">
        <v>46082</v>
      </c>
      <c r="B55" s="5" t="s">
        <v>12</v>
      </c>
      <c r="C55" s="5" t="s">
        <v>48</v>
      </c>
      <c r="D55" s="5" t="s">
        <v>52</v>
      </c>
      <c r="E55" s="10" t="n">
        <v>2000</v>
      </c>
      <c r="F55" s="12" t="s">
        <v>130</v>
      </c>
      <c r="G55" s="13" t="s">
        <v>184</v>
      </c>
    </row>
    <row r="56" customFormat="false" ht="15" hidden="false" customHeight="false" outlineLevel="0" collapsed="false">
      <c r="A56" s="11" t="n">
        <v>46082</v>
      </c>
      <c r="B56" s="5" t="s">
        <v>12</v>
      </c>
      <c r="C56" s="5" t="s">
        <v>53</v>
      </c>
      <c r="D56" s="5" t="s">
        <v>70</v>
      </c>
      <c r="E56" s="10" t="n">
        <v>46803</v>
      </c>
      <c r="F56" s="12" t="s">
        <v>130</v>
      </c>
      <c r="G56" s="13" t="s">
        <v>185</v>
      </c>
    </row>
    <row r="57" customFormat="false" ht="15" hidden="false" customHeight="false" outlineLevel="0" collapsed="false">
      <c r="A57" s="11" t="n">
        <v>46082</v>
      </c>
      <c r="B57" s="5" t="s">
        <v>12</v>
      </c>
      <c r="C57" s="5" t="s">
        <v>53</v>
      </c>
      <c r="D57" s="5" t="s">
        <v>71</v>
      </c>
      <c r="E57" s="10" t="n">
        <v>30000</v>
      </c>
      <c r="F57" s="12" t="s">
        <v>130</v>
      </c>
      <c r="G57" s="13" t="s">
        <v>186</v>
      </c>
    </row>
    <row r="58" customFormat="false" ht="15" hidden="false" customHeight="false" outlineLevel="0" collapsed="false">
      <c r="A58" s="11" t="n">
        <v>46082</v>
      </c>
      <c r="B58" s="5" t="s">
        <v>12</v>
      </c>
      <c r="C58" s="5" t="s">
        <v>53</v>
      </c>
      <c r="D58" s="5" t="s">
        <v>72</v>
      </c>
      <c r="E58" s="10" t="n">
        <v>47500</v>
      </c>
      <c r="F58" s="12" t="s">
        <v>130</v>
      </c>
      <c r="G58" s="13" t="s">
        <v>187</v>
      </c>
    </row>
    <row r="59" customFormat="false" ht="15" hidden="false" customHeight="false" outlineLevel="0" collapsed="false">
      <c r="A59" s="11" t="n">
        <v>46082</v>
      </c>
      <c r="B59" s="5" t="s">
        <v>12</v>
      </c>
      <c r="C59" s="5" t="s">
        <v>53</v>
      </c>
      <c r="D59" s="5" t="s">
        <v>73</v>
      </c>
      <c r="E59" s="10" t="n">
        <v>50000</v>
      </c>
      <c r="F59" s="12" t="s">
        <v>130</v>
      </c>
      <c r="G59" s="13" t="s">
        <v>188</v>
      </c>
    </row>
    <row r="60" customFormat="false" ht="15" hidden="false" customHeight="false" outlineLevel="0" collapsed="false">
      <c r="A60" s="11" t="n">
        <v>46082</v>
      </c>
      <c r="B60" s="5" t="s">
        <v>12</v>
      </c>
      <c r="C60" s="5" t="s">
        <v>60</v>
      </c>
      <c r="D60" s="5" t="s">
        <v>61</v>
      </c>
      <c r="E60" s="10" t="n">
        <v>80000</v>
      </c>
      <c r="F60" s="12" t="s">
        <v>130</v>
      </c>
      <c r="G60" s="13" t="s">
        <v>189</v>
      </c>
    </row>
    <row r="61" customFormat="false" ht="15" hidden="false" customHeight="false" outlineLevel="0" collapsed="false">
      <c r="A61" s="11" t="n">
        <v>46113</v>
      </c>
      <c r="B61" s="5" t="s">
        <v>13</v>
      </c>
      <c r="C61" s="5" t="s">
        <v>28</v>
      </c>
      <c r="D61" s="5" t="s">
        <v>29</v>
      </c>
      <c r="E61" s="10" t="n">
        <v>497150</v>
      </c>
      <c r="F61" s="12" t="s">
        <v>130</v>
      </c>
      <c r="G61" s="13" t="s">
        <v>190</v>
      </c>
    </row>
    <row r="62" customFormat="false" ht="15" hidden="false" customHeight="false" outlineLevel="0" collapsed="false">
      <c r="A62" s="11" t="n">
        <v>46113</v>
      </c>
      <c r="B62" s="5" t="s">
        <v>13</v>
      </c>
      <c r="C62" s="5" t="s">
        <v>28</v>
      </c>
      <c r="D62" s="5" t="s">
        <v>30</v>
      </c>
      <c r="E62" s="10" t="n">
        <v>44010</v>
      </c>
      <c r="F62" s="12" t="s">
        <v>130</v>
      </c>
      <c r="G62" s="13" t="s">
        <v>191</v>
      </c>
    </row>
    <row r="63" customFormat="false" ht="15" hidden="false" customHeight="false" outlineLevel="0" collapsed="false">
      <c r="A63" s="11" t="n">
        <v>46113</v>
      </c>
      <c r="B63" s="5" t="s">
        <v>13</v>
      </c>
      <c r="C63" s="5" t="s">
        <v>28</v>
      </c>
      <c r="D63" s="5" t="s">
        <v>30</v>
      </c>
      <c r="E63" s="10" t="n">
        <v>10000</v>
      </c>
      <c r="F63" s="12" t="s">
        <v>130</v>
      </c>
      <c r="G63" s="13" t="s">
        <v>192</v>
      </c>
    </row>
    <row r="64" customFormat="false" ht="15" hidden="false" customHeight="false" outlineLevel="0" collapsed="false">
      <c r="A64" s="11" t="n">
        <v>46113</v>
      </c>
      <c r="B64" s="5" t="s">
        <v>13</v>
      </c>
      <c r="C64" s="5" t="s">
        <v>31</v>
      </c>
      <c r="D64" s="5" t="s">
        <v>32</v>
      </c>
      <c r="E64" s="10" t="n">
        <v>90000</v>
      </c>
      <c r="F64" s="12" t="s">
        <v>130</v>
      </c>
      <c r="G64" s="13" t="s">
        <v>193</v>
      </c>
    </row>
    <row r="65" customFormat="false" ht="15" hidden="false" customHeight="false" outlineLevel="0" collapsed="false">
      <c r="A65" s="11" t="n">
        <v>46113</v>
      </c>
      <c r="B65" s="5" t="s">
        <v>13</v>
      </c>
      <c r="C65" s="5" t="s">
        <v>31</v>
      </c>
      <c r="D65" s="5" t="s">
        <v>33</v>
      </c>
      <c r="E65" s="10" t="n">
        <v>16860</v>
      </c>
      <c r="F65" s="12" t="s">
        <v>130</v>
      </c>
      <c r="G65" s="13" t="s">
        <v>194</v>
      </c>
    </row>
    <row r="66" customFormat="false" ht="15" hidden="false" customHeight="false" outlineLevel="0" collapsed="false">
      <c r="A66" s="11" t="n">
        <v>46113</v>
      </c>
      <c r="B66" s="5" t="s">
        <v>13</v>
      </c>
      <c r="C66" s="5" t="s">
        <v>31</v>
      </c>
      <c r="D66" s="5" t="s">
        <v>34</v>
      </c>
      <c r="E66" s="10" t="n">
        <v>14385</v>
      </c>
      <c r="F66" s="12" t="s">
        <v>130</v>
      </c>
      <c r="G66" s="13" t="s">
        <v>195</v>
      </c>
    </row>
    <row r="67" customFormat="false" ht="15" hidden="false" customHeight="false" outlineLevel="0" collapsed="false">
      <c r="A67" s="11" t="n">
        <v>46113</v>
      </c>
      <c r="B67" s="5" t="s">
        <v>13</v>
      </c>
      <c r="C67" s="5" t="s">
        <v>31</v>
      </c>
      <c r="D67" s="5" t="s">
        <v>36</v>
      </c>
      <c r="E67" s="10" t="n">
        <v>2190</v>
      </c>
      <c r="F67" s="12" t="s">
        <v>130</v>
      </c>
      <c r="G67" s="13" t="s">
        <v>196</v>
      </c>
    </row>
    <row r="68" customFormat="false" ht="15" hidden="false" customHeight="false" outlineLevel="0" collapsed="false">
      <c r="A68" s="11" t="n">
        <v>46113</v>
      </c>
      <c r="B68" s="5" t="s">
        <v>13</v>
      </c>
      <c r="C68" s="5" t="s">
        <v>31</v>
      </c>
      <c r="D68" s="5" t="s">
        <v>37</v>
      </c>
      <c r="E68" s="10" t="n">
        <v>2990</v>
      </c>
      <c r="F68" s="12" t="s">
        <v>130</v>
      </c>
      <c r="G68" s="13" t="s">
        <v>197</v>
      </c>
    </row>
    <row r="69" customFormat="false" ht="15" hidden="false" customHeight="false" outlineLevel="0" collapsed="false">
      <c r="A69" s="11" t="n">
        <v>46113</v>
      </c>
      <c r="B69" s="5" t="s">
        <v>13</v>
      </c>
      <c r="C69" s="5" t="s">
        <v>42</v>
      </c>
      <c r="D69" s="5" t="s">
        <v>43</v>
      </c>
      <c r="E69" s="10" t="n">
        <v>2970</v>
      </c>
      <c r="F69" s="12" t="s">
        <v>130</v>
      </c>
      <c r="G69" s="13" t="s">
        <v>198</v>
      </c>
    </row>
    <row r="70" customFormat="false" ht="15" hidden="false" customHeight="false" outlineLevel="0" collapsed="false">
      <c r="A70" s="11" t="n">
        <v>46113</v>
      </c>
      <c r="B70" s="5" t="s">
        <v>13</v>
      </c>
      <c r="C70" s="5" t="s">
        <v>42</v>
      </c>
      <c r="D70" s="5" t="s">
        <v>43</v>
      </c>
      <c r="E70" s="10" t="n">
        <v>7647</v>
      </c>
      <c r="F70" s="12" t="s">
        <v>130</v>
      </c>
      <c r="G70" s="13" t="s">
        <v>199</v>
      </c>
    </row>
    <row r="71" customFormat="false" ht="15" hidden="false" customHeight="false" outlineLevel="0" collapsed="false">
      <c r="A71" s="11" t="n">
        <v>46113</v>
      </c>
      <c r="B71" s="5" t="s">
        <v>13</v>
      </c>
      <c r="C71" s="5" t="s">
        <v>48</v>
      </c>
      <c r="D71" s="5" t="s">
        <v>50</v>
      </c>
      <c r="E71" s="10" t="n">
        <v>24000</v>
      </c>
      <c r="F71" s="12" t="s">
        <v>130</v>
      </c>
      <c r="G71" s="13" t="s">
        <v>200</v>
      </c>
    </row>
    <row r="72" customFormat="false" ht="15" hidden="false" customHeight="false" outlineLevel="0" collapsed="false">
      <c r="A72" s="11" t="n">
        <v>46113</v>
      </c>
      <c r="B72" s="5" t="s">
        <v>13</v>
      </c>
      <c r="C72" s="5" t="s">
        <v>48</v>
      </c>
      <c r="D72" s="5" t="s">
        <v>51</v>
      </c>
      <c r="E72" s="10" t="n">
        <v>5990</v>
      </c>
      <c r="F72" s="12" t="s">
        <v>130</v>
      </c>
      <c r="G72" s="13" t="s">
        <v>201</v>
      </c>
    </row>
    <row r="73" customFormat="false" ht="15" hidden="false" customHeight="false" outlineLevel="0" collapsed="false">
      <c r="A73" s="11" t="n">
        <v>46113</v>
      </c>
      <c r="B73" s="5" t="s">
        <v>13</v>
      </c>
      <c r="C73" s="5" t="s">
        <v>53</v>
      </c>
      <c r="D73" s="5" t="s">
        <v>75</v>
      </c>
      <c r="E73" s="10" t="n">
        <v>50282</v>
      </c>
      <c r="F73" s="12" t="s">
        <v>130</v>
      </c>
      <c r="G73" s="13" t="s">
        <v>202</v>
      </c>
    </row>
    <row r="74" customFormat="false" ht="15" hidden="false" customHeight="false" outlineLevel="0" collapsed="false">
      <c r="A74" s="11" t="n">
        <v>46113</v>
      </c>
      <c r="B74" s="5" t="s">
        <v>13</v>
      </c>
      <c r="C74" s="5" t="s">
        <v>53</v>
      </c>
      <c r="D74" s="5" t="s">
        <v>76</v>
      </c>
      <c r="E74" s="10" t="n">
        <v>30000</v>
      </c>
      <c r="F74" s="12" t="s">
        <v>130</v>
      </c>
      <c r="G74" s="13" t="s">
        <v>203</v>
      </c>
    </row>
    <row r="75" customFormat="false" ht="15" hidden="false" customHeight="false" outlineLevel="0" collapsed="false">
      <c r="A75" s="11" t="n">
        <v>46113</v>
      </c>
      <c r="B75" s="5" t="s">
        <v>13</v>
      </c>
      <c r="C75" s="5" t="s">
        <v>53</v>
      </c>
      <c r="D75" s="5" t="s">
        <v>77</v>
      </c>
      <c r="E75" s="10" t="n">
        <v>5000</v>
      </c>
      <c r="F75" s="12" t="s">
        <v>130</v>
      </c>
      <c r="G75" s="13" t="s">
        <v>204</v>
      </c>
    </row>
    <row r="76" customFormat="false" ht="15" hidden="false" customHeight="false" outlineLevel="0" collapsed="false">
      <c r="A76" s="11" t="n">
        <v>46113</v>
      </c>
      <c r="B76" s="5" t="s">
        <v>13</v>
      </c>
      <c r="C76" s="5" t="s">
        <v>53</v>
      </c>
      <c r="D76" s="5" t="s">
        <v>78</v>
      </c>
      <c r="E76" s="10" t="n">
        <v>8207</v>
      </c>
      <c r="F76" s="12" t="s">
        <v>130</v>
      </c>
      <c r="G76" s="13" t="s">
        <v>205</v>
      </c>
    </row>
    <row r="77" customFormat="false" ht="15" hidden="false" customHeight="false" outlineLevel="0" collapsed="false">
      <c r="A77" s="11" t="n">
        <v>46113</v>
      </c>
      <c r="B77" s="5" t="s">
        <v>13</v>
      </c>
      <c r="C77" s="5" t="s">
        <v>53</v>
      </c>
      <c r="D77" s="5" t="s">
        <v>79</v>
      </c>
      <c r="E77" s="10" t="n">
        <v>42053</v>
      </c>
      <c r="F77" s="12" t="s">
        <v>130</v>
      </c>
      <c r="G77" s="13" t="s">
        <v>206</v>
      </c>
    </row>
    <row r="78" customFormat="false" ht="15" hidden="false" customHeight="false" outlineLevel="0" collapsed="false">
      <c r="A78" s="11" t="n">
        <v>46113</v>
      </c>
      <c r="B78" s="5" t="s">
        <v>13</v>
      </c>
      <c r="C78" s="5" t="s">
        <v>53</v>
      </c>
      <c r="D78" s="5" t="s">
        <v>80</v>
      </c>
      <c r="E78" s="10" t="n">
        <v>15000</v>
      </c>
      <c r="F78" s="12" t="s">
        <v>130</v>
      </c>
      <c r="G78" s="13" t="s">
        <v>207</v>
      </c>
    </row>
    <row r="79" customFormat="false" ht="15" hidden="false" customHeight="false" outlineLevel="0" collapsed="false">
      <c r="A79" s="11" t="n">
        <v>46143</v>
      </c>
      <c r="B79" s="5" t="s">
        <v>14</v>
      </c>
      <c r="C79" s="5" t="s">
        <v>28</v>
      </c>
      <c r="D79" s="5" t="s">
        <v>29</v>
      </c>
      <c r="E79" s="10" t="n">
        <v>497150</v>
      </c>
      <c r="F79" s="12" t="s">
        <v>130</v>
      </c>
      <c r="G79" s="13" t="s">
        <v>208</v>
      </c>
    </row>
    <row r="80" customFormat="false" ht="15" hidden="false" customHeight="false" outlineLevel="0" collapsed="false">
      <c r="A80" s="11" t="n">
        <v>46143</v>
      </c>
      <c r="B80" s="5" t="s">
        <v>14</v>
      </c>
      <c r="C80" s="5" t="s">
        <v>28</v>
      </c>
      <c r="D80" s="5" t="s">
        <v>30</v>
      </c>
      <c r="E80" s="10" t="n">
        <v>44010</v>
      </c>
      <c r="F80" s="12" t="s">
        <v>130</v>
      </c>
      <c r="G80" s="13" t="s">
        <v>209</v>
      </c>
    </row>
    <row r="81" customFormat="false" ht="15" hidden="false" customHeight="false" outlineLevel="0" collapsed="false">
      <c r="A81" s="11" t="n">
        <v>46143</v>
      </c>
      <c r="B81" s="5" t="s">
        <v>14</v>
      </c>
      <c r="C81" s="5" t="s">
        <v>28</v>
      </c>
      <c r="D81" s="5" t="s">
        <v>30</v>
      </c>
      <c r="E81" s="10" t="n">
        <v>7335</v>
      </c>
      <c r="F81" s="12" t="s">
        <v>130</v>
      </c>
      <c r="G81" s="13" t="s">
        <v>210</v>
      </c>
    </row>
    <row r="82" customFormat="false" ht="15" hidden="false" customHeight="false" outlineLevel="0" collapsed="false">
      <c r="A82" s="11" t="n">
        <v>46143</v>
      </c>
      <c r="B82" s="5" t="s">
        <v>14</v>
      </c>
      <c r="C82" s="5" t="s">
        <v>28</v>
      </c>
      <c r="D82" s="5" t="s">
        <v>30</v>
      </c>
      <c r="E82" s="10" t="n">
        <v>40000</v>
      </c>
      <c r="F82" s="12" t="s">
        <v>130</v>
      </c>
      <c r="G82" s="13" t="s">
        <v>211</v>
      </c>
    </row>
    <row r="83" customFormat="false" ht="15" hidden="false" customHeight="false" outlineLevel="0" collapsed="false">
      <c r="A83" s="11" t="n">
        <v>46143</v>
      </c>
      <c r="B83" s="5" t="s">
        <v>14</v>
      </c>
      <c r="C83" s="5" t="s">
        <v>31</v>
      </c>
      <c r="D83" s="5" t="s">
        <v>32</v>
      </c>
      <c r="E83" s="10" t="n">
        <v>90000</v>
      </c>
      <c r="F83" s="12" t="s">
        <v>130</v>
      </c>
      <c r="G83" s="13" t="s">
        <v>212</v>
      </c>
    </row>
    <row r="84" customFormat="false" ht="15" hidden="false" customHeight="false" outlineLevel="0" collapsed="false">
      <c r="A84" s="11" t="n">
        <v>46143</v>
      </c>
      <c r="B84" s="5" t="s">
        <v>14</v>
      </c>
      <c r="C84" s="5" t="s">
        <v>31</v>
      </c>
      <c r="D84" s="5" t="s">
        <v>33</v>
      </c>
      <c r="E84" s="10" t="n">
        <v>17044</v>
      </c>
      <c r="F84" s="12" t="s">
        <v>130</v>
      </c>
      <c r="G84" s="13" t="s">
        <v>213</v>
      </c>
    </row>
    <row r="85" customFormat="false" ht="15" hidden="false" customHeight="false" outlineLevel="0" collapsed="false">
      <c r="A85" s="11" t="n">
        <v>46143</v>
      </c>
      <c r="B85" s="5" t="s">
        <v>14</v>
      </c>
      <c r="C85" s="5" t="s">
        <v>31</v>
      </c>
      <c r="D85" s="5" t="s">
        <v>34</v>
      </c>
      <c r="E85" s="10" t="n">
        <v>14385</v>
      </c>
      <c r="F85" s="12" t="s">
        <v>130</v>
      </c>
      <c r="G85" s="13" t="s">
        <v>214</v>
      </c>
    </row>
    <row r="86" customFormat="false" ht="15" hidden="false" customHeight="false" outlineLevel="0" collapsed="false">
      <c r="A86" s="11" t="n">
        <v>46143</v>
      </c>
      <c r="B86" s="5" t="s">
        <v>14</v>
      </c>
      <c r="C86" s="5" t="s">
        <v>31</v>
      </c>
      <c r="D86" s="5" t="s">
        <v>63</v>
      </c>
      <c r="E86" s="10" t="n">
        <v>4790</v>
      </c>
      <c r="F86" s="12" t="s">
        <v>130</v>
      </c>
      <c r="G86" s="13" t="s">
        <v>215</v>
      </c>
    </row>
    <row r="87" customFormat="false" ht="15" hidden="false" customHeight="false" outlineLevel="0" collapsed="false">
      <c r="A87" s="11" t="n">
        <v>46143</v>
      </c>
      <c r="B87" s="5" t="s">
        <v>14</v>
      </c>
      <c r="C87" s="5" t="s">
        <v>31</v>
      </c>
      <c r="D87" s="5" t="s">
        <v>36</v>
      </c>
      <c r="E87" s="10" t="n">
        <v>2190</v>
      </c>
      <c r="F87" s="12" t="s">
        <v>130</v>
      </c>
      <c r="G87" s="13" t="s">
        <v>216</v>
      </c>
    </row>
    <row r="88" customFormat="false" ht="15" hidden="false" customHeight="false" outlineLevel="0" collapsed="false">
      <c r="A88" s="11" t="n">
        <v>46143</v>
      </c>
      <c r="B88" s="5" t="s">
        <v>14</v>
      </c>
      <c r="C88" s="5" t="s">
        <v>42</v>
      </c>
      <c r="D88" s="5" t="s">
        <v>43</v>
      </c>
      <c r="E88" s="10" t="n">
        <v>11360</v>
      </c>
      <c r="F88" s="12" t="s">
        <v>130</v>
      </c>
      <c r="G88" s="13" t="s">
        <v>217</v>
      </c>
    </row>
    <row r="89" customFormat="false" ht="15" hidden="false" customHeight="false" outlineLevel="0" collapsed="false">
      <c r="A89" s="11" t="n">
        <v>46143</v>
      </c>
      <c r="B89" s="5" t="s">
        <v>14</v>
      </c>
      <c r="C89" s="5" t="s">
        <v>42</v>
      </c>
      <c r="D89" s="5" t="s">
        <v>43</v>
      </c>
      <c r="E89" s="10" t="n">
        <v>7030</v>
      </c>
      <c r="F89" s="12" t="s">
        <v>130</v>
      </c>
      <c r="G89" s="13" t="s">
        <v>218</v>
      </c>
    </row>
    <row r="90" customFormat="false" ht="15" hidden="false" customHeight="false" outlineLevel="0" collapsed="false">
      <c r="A90" s="11" t="n">
        <v>46143</v>
      </c>
      <c r="B90" s="5" t="s">
        <v>14</v>
      </c>
      <c r="C90" s="5" t="s">
        <v>48</v>
      </c>
      <c r="D90" s="5" t="s">
        <v>50</v>
      </c>
      <c r="E90" s="10" t="n">
        <v>19000</v>
      </c>
      <c r="F90" s="12" t="s">
        <v>130</v>
      </c>
      <c r="G90" s="13" t="s">
        <v>219</v>
      </c>
    </row>
    <row r="91" customFormat="false" ht="15" hidden="false" customHeight="false" outlineLevel="0" collapsed="false">
      <c r="A91" s="11" t="n">
        <v>46143</v>
      </c>
      <c r="B91" s="5" t="s">
        <v>14</v>
      </c>
      <c r="C91" s="5" t="s">
        <v>53</v>
      </c>
      <c r="D91" s="5" t="s">
        <v>85</v>
      </c>
      <c r="E91" s="10" t="n">
        <v>55000</v>
      </c>
      <c r="F91" s="12" t="s">
        <v>130</v>
      </c>
      <c r="G91" s="13" t="s">
        <v>220</v>
      </c>
    </row>
    <row r="92" customFormat="false" ht="15" hidden="false" customHeight="false" outlineLevel="0" collapsed="false">
      <c r="A92" s="11" t="n">
        <v>46143</v>
      </c>
      <c r="B92" s="5" t="s">
        <v>14</v>
      </c>
      <c r="C92" s="5" t="s">
        <v>53</v>
      </c>
      <c r="D92" s="5" t="s">
        <v>86</v>
      </c>
      <c r="E92" s="10" t="n">
        <v>13864</v>
      </c>
      <c r="F92" s="12" t="s">
        <v>130</v>
      </c>
      <c r="G92" s="13" t="s">
        <v>221</v>
      </c>
    </row>
    <row r="93" customFormat="false" ht="15" hidden="false" customHeight="false" outlineLevel="0" collapsed="false">
      <c r="A93" s="11" t="n">
        <v>46143</v>
      </c>
      <c r="B93" s="5" t="s">
        <v>14</v>
      </c>
      <c r="C93" s="5" t="s">
        <v>53</v>
      </c>
      <c r="D93" s="5" t="s">
        <v>86</v>
      </c>
      <c r="E93" s="10" t="n">
        <v>14231</v>
      </c>
      <c r="F93" s="12" t="s">
        <v>130</v>
      </c>
      <c r="G93" s="13" t="s">
        <v>222</v>
      </c>
    </row>
    <row r="94" customFormat="false" ht="15" hidden="false" customHeight="false" outlineLevel="0" collapsed="false">
      <c r="A94" s="11" t="n">
        <v>46143</v>
      </c>
      <c r="B94" s="5" t="s">
        <v>14</v>
      </c>
      <c r="C94" s="5" t="s">
        <v>60</v>
      </c>
      <c r="D94" s="5" t="s">
        <v>81</v>
      </c>
      <c r="E94" s="10" t="n">
        <v>60000</v>
      </c>
      <c r="F94" s="12" t="s">
        <v>130</v>
      </c>
      <c r="G94" s="13" t="s">
        <v>223</v>
      </c>
    </row>
    <row r="95" customFormat="false" ht="15" hidden="false" customHeight="false" outlineLevel="0" collapsed="false">
      <c r="A95" s="11" t="n">
        <v>46143</v>
      </c>
      <c r="B95" s="5" t="s">
        <v>14</v>
      </c>
      <c r="C95" s="5" t="s">
        <v>60</v>
      </c>
      <c r="D95" s="5" t="s">
        <v>88</v>
      </c>
      <c r="E95" s="10" t="n">
        <v>55000</v>
      </c>
      <c r="F95" s="12" t="s">
        <v>130</v>
      </c>
      <c r="G95" s="13" t="s">
        <v>224</v>
      </c>
    </row>
    <row r="96" customFormat="false" ht="15" hidden="false" customHeight="false" outlineLevel="0" collapsed="false">
      <c r="A96" s="11" t="n">
        <v>46174</v>
      </c>
      <c r="B96" s="5" t="s">
        <v>15</v>
      </c>
      <c r="C96" s="5" t="s">
        <v>31</v>
      </c>
      <c r="D96" s="5" t="s">
        <v>32</v>
      </c>
      <c r="E96" s="10" t="n">
        <v>90000</v>
      </c>
      <c r="F96" s="12" t="s">
        <v>130</v>
      </c>
      <c r="G96" s="13" t="s">
        <v>225</v>
      </c>
    </row>
    <row r="97" customFormat="false" ht="15" hidden="false" customHeight="false" outlineLevel="0" collapsed="false">
      <c r="A97" s="11" t="n">
        <v>46174</v>
      </c>
      <c r="B97" s="5" t="s">
        <v>15</v>
      </c>
      <c r="C97" s="5" t="s">
        <v>31</v>
      </c>
      <c r="D97" s="5" t="s">
        <v>33</v>
      </c>
      <c r="E97" s="10" t="n">
        <v>16000</v>
      </c>
      <c r="F97" s="12" t="s">
        <v>130</v>
      </c>
      <c r="G97" s="13" t="s">
        <v>226</v>
      </c>
    </row>
    <row r="98" customFormat="false" ht="15" hidden="false" customHeight="false" outlineLevel="0" collapsed="false">
      <c r="A98" s="11" t="n">
        <v>46174</v>
      </c>
      <c r="B98" s="5" t="s">
        <v>15</v>
      </c>
      <c r="C98" s="5" t="s">
        <v>31</v>
      </c>
      <c r="D98" s="5" t="s">
        <v>34</v>
      </c>
      <c r="E98" s="10" t="n">
        <v>14385</v>
      </c>
      <c r="F98" s="12" t="s">
        <v>130</v>
      </c>
      <c r="G98" s="13" t="s">
        <v>227</v>
      </c>
    </row>
    <row r="99" customFormat="false" ht="15" hidden="false" customHeight="false" outlineLevel="0" collapsed="false">
      <c r="A99" s="11" t="n">
        <v>46174</v>
      </c>
      <c r="B99" s="5" t="s">
        <v>15</v>
      </c>
      <c r="C99" s="5" t="s">
        <v>31</v>
      </c>
      <c r="D99" s="5" t="s">
        <v>63</v>
      </c>
      <c r="E99" s="10" t="n">
        <v>4790</v>
      </c>
      <c r="F99" s="12" t="s">
        <v>130</v>
      </c>
      <c r="G99" s="13" t="s">
        <v>228</v>
      </c>
    </row>
    <row r="100" customFormat="false" ht="15" hidden="false" customHeight="false" outlineLevel="0" collapsed="false">
      <c r="A100" s="11" t="n">
        <v>46174</v>
      </c>
      <c r="B100" s="5" t="s">
        <v>15</v>
      </c>
      <c r="C100" s="5" t="s">
        <v>31</v>
      </c>
      <c r="D100" s="5" t="s">
        <v>36</v>
      </c>
      <c r="E100" s="10" t="n">
        <v>1990</v>
      </c>
      <c r="F100" s="12" t="s">
        <v>130</v>
      </c>
      <c r="G100" s="13" t="s">
        <v>229</v>
      </c>
    </row>
    <row r="101" customFormat="false" ht="15" hidden="false" customHeight="false" outlineLevel="0" collapsed="false">
      <c r="A101" s="11" t="n">
        <v>46174</v>
      </c>
      <c r="B101" s="5" t="s">
        <v>15</v>
      </c>
      <c r="C101" s="5" t="s">
        <v>42</v>
      </c>
      <c r="D101" s="5" t="s">
        <v>43</v>
      </c>
      <c r="E101" s="10" t="n">
        <v>4400</v>
      </c>
      <c r="F101" s="12" t="s">
        <v>130</v>
      </c>
      <c r="G101" s="13" t="s">
        <v>230</v>
      </c>
    </row>
    <row r="102" customFormat="false" ht="15" hidden="false" customHeight="false" outlineLevel="0" collapsed="false">
      <c r="A102" s="11" t="n">
        <v>46174</v>
      </c>
      <c r="B102" s="5" t="s">
        <v>15</v>
      </c>
      <c r="C102" s="5" t="s">
        <v>42</v>
      </c>
      <c r="D102" s="5" t="s">
        <v>43</v>
      </c>
      <c r="E102" s="10" t="n">
        <v>5267</v>
      </c>
      <c r="F102" s="12" t="s">
        <v>130</v>
      </c>
      <c r="G102" s="13" t="s">
        <v>231</v>
      </c>
    </row>
    <row r="103" customFormat="false" ht="15" hidden="false" customHeight="false" outlineLevel="0" collapsed="false">
      <c r="A103" s="11" t="n">
        <v>46174</v>
      </c>
      <c r="B103" s="5" t="s">
        <v>15</v>
      </c>
      <c r="C103" s="5" t="s">
        <v>42</v>
      </c>
      <c r="D103" s="5" t="s">
        <v>43</v>
      </c>
      <c r="E103" s="10" t="n">
        <v>3200</v>
      </c>
      <c r="F103" s="12" t="s">
        <v>130</v>
      </c>
      <c r="G103" s="13" t="s">
        <v>232</v>
      </c>
    </row>
    <row r="104" customFormat="false" ht="15" hidden="false" customHeight="false" outlineLevel="0" collapsed="false">
      <c r="A104" s="11" t="n">
        <v>46174</v>
      </c>
      <c r="B104" s="5" t="s">
        <v>15</v>
      </c>
      <c r="C104" s="5" t="s">
        <v>42</v>
      </c>
      <c r="D104" s="5" t="s">
        <v>43</v>
      </c>
      <c r="E104" s="10" t="n">
        <v>10085</v>
      </c>
      <c r="F104" s="12" t="s">
        <v>130</v>
      </c>
      <c r="G104" s="13" t="s">
        <v>233</v>
      </c>
    </row>
    <row r="105" customFormat="false" ht="15" hidden="false" customHeight="false" outlineLevel="0" collapsed="false">
      <c r="A105" s="11" t="n">
        <v>46174</v>
      </c>
      <c r="B105" s="5" t="s">
        <v>15</v>
      </c>
      <c r="C105" s="5" t="s">
        <v>42</v>
      </c>
      <c r="D105" s="5" t="s">
        <v>43</v>
      </c>
      <c r="E105" s="10" t="n">
        <v>1707</v>
      </c>
      <c r="F105" s="12" t="s">
        <v>130</v>
      </c>
      <c r="G105" s="13" t="s">
        <v>234</v>
      </c>
    </row>
    <row r="106" customFormat="false" ht="15" hidden="false" customHeight="false" outlineLevel="0" collapsed="false">
      <c r="A106" s="11" t="n">
        <v>46174</v>
      </c>
      <c r="B106" s="5" t="s">
        <v>15</v>
      </c>
      <c r="C106" s="5" t="s">
        <v>42</v>
      </c>
      <c r="D106" s="5" t="s">
        <v>43</v>
      </c>
      <c r="E106" s="10" t="n">
        <v>6482</v>
      </c>
      <c r="F106" s="12" t="s">
        <v>130</v>
      </c>
      <c r="G106" s="13" t="s">
        <v>235</v>
      </c>
    </row>
    <row r="107" customFormat="false" ht="15" hidden="false" customHeight="false" outlineLevel="0" collapsed="false">
      <c r="A107" s="11" t="n">
        <v>46174</v>
      </c>
      <c r="B107" s="5" t="s">
        <v>15</v>
      </c>
      <c r="C107" s="5" t="s">
        <v>42</v>
      </c>
      <c r="D107" s="5" t="s">
        <v>43</v>
      </c>
      <c r="E107" s="10" t="n">
        <v>2317</v>
      </c>
      <c r="F107" s="12" t="s">
        <v>130</v>
      </c>
      <c r="G107" s="13" t="s">
        <v>236</v>
      </c>
    </row>
    <row r="108" customFormat="false" ht="15" hidden="false" customHeight="false" outlineLevel="0" collapsed="false">
      <c r="A108" s="11" t="n">
        <v>46174</v>
      </c>
      <c r="B108" s="5" t="s">
        <v>15</v>
      </c>
      <c r="C108" s="5" t="s">
        <v>42</v>
      </c>
      <c r="D108" s="5" t="s">
        <v>43</v>
      </c>
      <c r="E108" s="10" t="n">
        <v>8070</v>
      </c>
      <c r="F108" s="12" t="s">
        <v>130</v>
      </c>
      <c r="G108" s="13" t="s">
        <v>237</v>
      </c>
    </row>
    <row r="109" customFormat="false" ht="15" hidden="false" customHeight="false" outlineLevel="0" collapsed="false">
      <c r="A109" s="11" t="n">
        <v>46174</v>
      </c>
      <c r="B109" s="5" t="s">
        <v>15</v>
      </c>
      <c r="C109" s="5" t="s">
        <v>42</v>
      </c>
      <c r="D109" s="5" t="s">
        <v>43</v>
      </c>
      <c r="E109" s="10" t="n">
        <v>5149</v>
      </c>
      <c r="F109" s="12" t="s">
        <v>130</v>
      </c>
      <c r="G109" s="13" t="s">
        <v>238</v>
      </c>
    </row>
    <row r="110" customFormat="false" ht="15" hidden="false" customHeight="false" outlineLevel="0" collapsed="false">
      <c r="A110" s="11" t="n">
        <v>46174</v>
      </c>
      <c r="B110" s="5" t="s">
        <v>15</v>
      </c>
      <c r="C110" s="5" t="s">
        <v>42</v>
      </c>
      <c r="D110" s="5" t="s">
        <v>43</v>
      </c>
      <c r="E110" s="10" t="n">
        <v>3760</v>
      </c>
      <c r="F110" s="12" t="s">
        <v>130</v>
      </c>
      <c r="G110" s="13" t="s">
        <v>239</v>
      </c>
    </row>
    <row r="111" customFormat="false" ht="15" hidden="false" customHeight="false" outlineLevel="0" collapsed="false">
      <c r="A111" s="11" t="n">
        <v>46174</v>
      </c>
      <c r="B111" s="5" t="s">
        <v>15</v>
      </c>
      <c r="C111" s="5" t="s">
        <v>42</v>
      </c>
      <c r="D111" s="5" t="s">
        <v>43</v>
      </c>
      <c r="E111" s="10" t="n">
        <v>3226</v>
      </c>
      <c r="F111" s="12" t="s">
        <v>130</v>
      </c>
      <c r="G111" s="13" t="s">
        <v>240</v>
      </c>
    </row>
    <row r="112" customFormat="false" ht="15" hidden="false" customHeight="false" outlineLevel="0" collapsed="false">
      <c r="A112" s="11" t="n">
        <v>46174</v>
      </c>
      <c r="B112" s="5" t="s">
        <v>15</v>
      </c>
      <c r="C112" s="5" t="s">
        <v>42</v>
      </c>
      <c r="D112" s="5" t="s">
        <v>43</v>
      </c>
      <c r="E112" s="10" t="n">
        <v>3005</v>
      </c>
      <c r="F112" s="12" t="s">
        <v>130</v>
      </c>
      <c r="G112" s="13" t="s">
        <v>241</v>
      </c>
    </row>
    <row r="113" customFormat="false" ht="15" hidden="false" customHeight="false" outlineLevel="0" collapsed="false">
      <c r="A113" s="11" t="n">
        <v>46174</v>
      </c>
      <c r="B113" s="5" t="s">
        <v>15</v>
      </c>
      <c r="C113" s="5" t="s">
        <v>42</v>
      </c>
      <c r="D113" s="5" t="s">
        <v>43</v>
      </c>
      <c r="E113" s="10" t="n">
        <v>5817</v>
      </c>
      <c r="F113" s="12" t="s">
        <v>130</v>
      </c>
      <c r="G113" s="13" t="s">
        <v>242</v>
      </c>
    </row>
    <row r="114" customFormat="false" ht="15" hidden="false" customHeight="false" outlineLevel="0" collapsed="false">
      <c r="A114" s="11" t="n">
        <v>46174</v>
      </c>
      <c r="B114" s="5" t="s">
        <v>15</v>
      </c>
      <c r="C114" s="5" t="s">
        <v>42</v>
      </c>
      <c r="D114" s="5" t="s">
        <v>43</v>
      </c>
      <c r="E114" s="10" t="n">
        <v>6040</v>
      </c>
      <c r="F114" s="12" t="s">
        <v>130</v>
      </c>
      <c r="G114" s="13" t="s">
        <v>243</v>
      </c>
    </row>
    <row r="115" customFormat="false" ht="15" hidden="false" customHeight="false" outlineLevel="0" collapsed="false">
      <c r="A115" s="11" t="n">
        <v>46174</v>
      </c>
      <c r="B115" s="5" t="s">
        <v>15</v>
      </c>
      <c r="C115" s="5" t="s">
        <v>42</v>
      </c>
      <c r="D115" s="5" t="s">
        <v>43</v>
      </c>
      <c r="E115" s="10" t="n">
        <v>18040</v>
      </c>
      <c r="F115" s="12" t="s">
        <v>130</v>
      </c>
      <c r="G115" s="13" t="s">
        <v>244</v>
      </c>
    </row>
    <row r="116" customFormat="false" ht="15" hidden="false" customHeight="false" outlineLevel="0" collapsed="false">
      <c r="A116" s="11" t="n">
        <v>46174</v>
      </c>
      <c r="B116" s="5" t="s">
        <v>15</v>
      </c>
      <c r="C116" s="5" t="s">
        <v>42</v>
      </c>
      <c r="D116" s="5" t="s">
        <v>46</v>
      </c>
      <c r="E116" s="10" t="n">
        <v>15000</v>
      </c>
      <c r="F116" s="12" t="s">
        <v>130</v>
      </c>
      <c r="G116" s="13" t="s">
        <v>245</v>
      </c>
    </row>
    <row r="117" customFormat="false" ht="15" hidden="false" customHeight="false" outlineLevel="0" collapsed="false">
      <c r="A117" s="11" t="n">
        <v>46174</v>
      </c>
      <c r="B117" s="5" t="s">
        <v>15</v>
      </c>
      <c r="C117" s="5" t="s">
        <v>48</v>
      </c>
      <c r="D117" s="5" t="s">
        <v>50</v>
      </c>
      <c r="E117" s="10" t="n">
        <v>24000</v>
      </c>
      <c r="F117" s="12" t="s">
        <v>130</v>
      </c>
      <c r="G117" s="13" t="s">
        <v>246</v>
      </c>
    </row>
    <row r="118" customFormat="false" ht="15" hidden="false" customHeight="false" outlineLevel="0" collapsed="false">
      <c r="A118" s="11" t="n">
        <v>46174</v>
      </c>
      <c r="B118" s="5" t="s">
        <v>15</v>
      </c>
      <c r="C118" s="5" t="s">
        <v>48</v>
      </c>
      <c r="D118" s="5" t="s">
        <v>83</v>
      </c>
      <c r="E118" s="10" t="n">
        <v>13900</v>
      </c>
      <c r="F118" s="12" t="s">
        <v>130</v>
      </c>
      <c r="G118" s="13" t="s">
        <v>247</v>
      </c>
    </row>
    <row r="119" customFormat="false" ht="15" hidden="false" customHeight="false" outlineLevel="0" collapsed="false">
      <c r="A119" s="11" t="n">
        <v>46174</v>
      </c>
      <c r="B119" s="5" t="s">
        <v>15</v>
      </c>
      <c r="C119" s="5" t="s">
        <v>48</v>
      </c>
      <c r="D119" s="5" t="s">
        <v>52</v>
      </c>
      <c r="E119" s="10" t="n">
        <v>15000</v>
      </c>
      <c r="F119" s="12" t="s">
        <v>130</v>
      </c>
      <c r="G119" s="13" t="s">
        <v>248</v>
      </c>
    </row>
    <row r="120" customFormat="false" ht="15" hidden="false" customHeight="false" outlineLevel="0" collapsed="false">
      <c r="A120" s="11" t="n">
        <v>46174</v>
      </c>
      <c r="B120" s="5" t="s">
        <v>15</v>
      </c>
      <c r="C120" s="5" t="s">
        <v>53</v>
      </c>
      <c r="D120" s="5" t="s">
        <v>84</v>
      </c>
      <c r="E120" s="10" t="n">
        <v>8000</v>
      </c>
      <c r="F120" s="12" t="s">
        <v>130</v>
      </c>
      <c r="G120" s="13" t="s">
        <v>249</v>
      </c>
    </row>
    <row r="121" customFormat="false" ht="15" hidden="false" customHeight="false" outlineLevel="0" collapsed="false">
      <c r="A121" s="11" t="n">
        <v>46174</v>
      </c>
      <c r="B121" s="5" t="s">
        <v>15</v>
      </c>
      <c r="C121" s="5" t="s">
        <v>53</v>
      </c>
      <c r="D121" s="5" t="s">
        <v>90</v>
      </c>
      <c r="E121" s="10" t="n">
        <v>46500</v>
      </c>
      <c r="F121" s="12" t="s">
        <v>130</v>
      </c>
      <c r="G121" s="13" t="s">
        <v>250</v>
      </c>
    </row>
    <row r="122" customFormat="false" ht="15" hidden="false" customHeight="false" outlineLevel="0" collapsed="false">
      <c r="A122" s="11" t="n">
        <v>46174</v>
      </c>
      <c r="B122" s="5" t="s">
        <v>15</v>
      </c>
      <c r="C122" s="5" t="s">
        <v>53</v>
      </c>
      <c r="D122" s="5" t="s">
        <v>91</v>
      </c>
      <c r="E122" s="10" t="n">
        <v>16000</v>
      </c>
      <c r="F122" s="12" t="s">
        <v>130</v>
      </c>
      <c r="G122" s="13" t="s">
        <v>251</v>
      </c>
    </row>
    <row r="123" customFormat="false" ht="15" hidden="false" customHeight="false" outlineLevel="0" collapsed="false">
      <c r="A123" s="11" t="n">
        <v>46174</v>
      </c>
      <c r="B123" s="5" t="s">
        <v>15</v>
      </c>
      <c r="C123" s="5" t="s">
        <v>53</v>
      </c>
      <c r="D123" s="5" t="s">
        <v>92</v>
      </c>
      <c r="E123" s="10" t="n">
        <v>58095</v>
      </c>
      <c r="F123" s="12" t="s">
        <v>130</v>
      </c>
      <c r="G123" s="13" t="s">
        <v>252</v>
      </c>
    </row>
    <row r="124" customFormat="false" ht="15" hidden="false" customHeight="false" outlineLevel="0" collapsed="false">
      <c r="A124" s="11" t="n">
        <v>46204</v>
      </c>
      <c r="B124" s="5" t="s">
        <v>16</v>
      </c>
      <c r="C124" s="5" t="s">
        <v>28</v>
      </c>
      <c r="D124" s="5" t="s">
        <v>29</v>
      </c>
      <c r="E124" s="10" t="n">
        <v>497150</v>
      </c>
      <c r="F124" s="12" t="s">
        <v>130</v>
      </c>
      <c r="G124" s="13" t="s">
        <v>253</v>
      </c>
    </row>
    <row r="125" customFormat="false" ht="15" hidden="false" customHeight="false" outlineLevel="0" collapsed="false">
      <c r="A125" s="11" t="n">
        <v>46204</v>
      </c>
      <c r="B125" s="5" t="s">
        <v>16</v>
      </c>
      <c r="C125" s="5" t="s">
        <v>28</v>
      </c>
      <c r="D125" s="5" t="s">
        <v>30</v>
      </c>
      <c r="E125" s="10" t="n">
        <v>44010</v>
      </c>
      <c r="F125" s="12" t="s">
        <v>130</v>
      </c>
      <c r="G125" s="13" t="s">
        <v>254</v>
      </c>
    </row>
    <row r="126" customFormat="false" ht="15" hidden="false" customHeight="false" outlineLevel="0" collapsed="false">
      <c r="A126" s="11" t="n">
        <v>46204</v>
      </c>
      <c r="B126" s="5" t="s">
        <v>16</v>
      </c>
      <c r="C126" s="5" t="s">
        <v>28</v>
      </c>
      <c r="D126" s="5" t="s">
        <v>30</v>
      </c>
      <c r="E126" s="10" t="n">
        <v>16757</v>
      </c>
      <c r="F126" s="12" t="s">
        <v>130</v>
      </c>
      <c r="G126" s="13" t="s">
        <v>255</v>
      </c>
    </row>
    <row r="127" customFormat="false" ht="15" hidden="false" customHeight="false" outlineLevel="0" collapsed="false">
      <c r="A127" s="11" t="n">
        <v>46204</v>
      </c>
      <c r="B127" s="5" t="s">
        <v>16</v>
      </c>
      <c r="C127" s="5" t="s">
        <v>31</v>
      </c>
      <c r="D127" s="5" t="s">
        <v>32</v>
      </c>
      <c r="E127" s="10" t="n">
        <v>90000</v>
      </c>
      <c r="F127" s="12" t="s">
        <v>130</v>
      </c>
      <c r="G127" s="13" t="s">
        <v>256</v>
      </c>
    </row>
    <row r="128" customFormat="false" ht="15" hidden="false" customHeight="false" outlineLevel="0" collapsed="false">
      <c r="A128" s="11" t="n">
        <v>46204</v>
      </c>
      <c r="B128" s="5" t="s">
        <v>16</v>
      </c>
      <c r="C128" s="5" t="s">
        <v>31</v>
      </c>
      <c r="D128" s="5" t="s">
        <v>33</v>
      </c>
      <c r="E128" s="10" t="n">
        <v>14474</v>
      </c>
      <c r="F128" s="12" t="s">
        <v>130</v>
      </c>
      <c r="G128" s="13" t="s">
        <v>257</v>
      </c>
    </row>
    <row r="129" customFormat="false" ht="15" hidden="false" customHeight="false" outlineLevel="0" collapsed="false">
      <c r="A129" s="11" t="n">
        <v>46204</v>
      </c>
      <c r="B129" s="5" t="s">
        <v>16</v>
      </c>
      <c r="C129" s="5" t="s">
        <v>31</v>
      </c>
      <c r="D129" s="5" t="s">
        <v>34</v>
      </c>
      <c r="E129" s="10" t="n">
        <v>14385</v>
      </c>
      <c r="F129" s="12" t="s">
        <v>130</v>
      </c>
      <c r="G129" s="13" t="s">
        <v>258</v>
      </c>
    </row>
    <row r="130" customFormat="false" ht="15" hidden="false" customHeight="false" outlineLevel="0" collapsed="false">
      <c r="A130" s="11" t="n">
        <v>46204</v>
      </c>
      <c r="B130" s="5" t="s">
        <v>16</v>
      </c>
      <c r="C130" s="5" t="s">
        <v>31</v>
      </c>
      <c r="D130" s="5" t="s">
        <v>63</v>
      </c>
      <c r="E130" s="10" t="n">
        <v>4790</v>
      </c>
      <c r="F130" s="12" t="s">
        <v>130</v>
      </c>
      <c r="G130" s="13" t="s">
        <v>259</v>
      </c>
    </row>
    <row r="131" customFormat="false" ht="15" hidden="false" customHeight="false" outlineLevel="0" collapsed="false">
      <c r="A131" s="11" t="n">
        <v>46204</v>
      </c>
      <c r="B131" s="5" t="s">
        <v>16</v>
      </c>
      <c r="C131" s="5" t="s">
        <v>31</v>
      </c>
      <c r="D131" s="5" t="s">
        <v>36</v>
      </c>
      <c r="E131" s="10" t="n">
        <v>1990</v>
      </c>
      <c r="F131" s="12" t="s">
        <v>130</v>
      </c>
      <c r="G131" s="13" t="s">
        <v>260</v>
      </c>
    </row>
    <row r="132" customFormat="false" ht="15" hidden="false" customHeight="false" outlineLevel="0" collapsed="false">
      <c r="A132" s="11" t="n">
        <v>46204</v>
      </c>
      <c r="B132" s="5" t="s">
        <v>16</v>
      </c>
      <c r="C132" s="5" t="s">
        <v>31</v>
      </c>
      <c r="D132" s="5" t="s">
        <v>93</v>
      </c>
      <c r="E132" s="10" t="n">
        <v>2450</v>
      </c>
      <c r="F132" s="12" t="s">
        <v>130</v>
      </c>
      <c r="G132" s="13" t="s">
        <v>261</v>
      </c>
    </row>
    <row r="133" customFormat="false" ht="15" hidden="false" customHeight="false" outlineLevel="0" collapsed="false">
      <c r="A133" s="11" t="n">
        <v>46204</v>
      </c>
      <c r="B133" s="5" t="s">
        <v>16</v>
      </c>
      <c r="C133" s="5" t="s">
        <v>42</v>
      </c>
      <c r="D133" s="5" t="s">
        <v>43</v>
      </c>
      <c r="E133" s="10" t="n">
        <v>19725</v>
      </c>
      <c r="F133" s="12" t="s">
        <v>130</v>
      </c>
      <c r="G133" s="13" t="s">
        <v>262</v>
      </c>
    </row>
    <row r="134" customFormat="false" ht="15" hidden="false" customHeight="false" outlineLevel="0" collapsed="false">
      <c r="A134" s="11" t="n">
        <v>46204</v>
      </c>
      <c r="B134" s="5" t="s">
        <v>16</v>
      </c>
      <c r="C134" s="5" t="s">
        <v>42</v>
      </c>
      <c r="D134" s="5" t="s">
        <v>47</v>
      </c>
      <c r="E134" s="10" t="n">
        <v>14500</v>
      </c>
      <c r="F134" s="12" t="s">
        <v>130</v>
      </c>
      <c r="G134" s="13" t="s">
        <v>263</v>
      </c>
    </row>
    <row r="135" customFormat="false" ht="15" hidden="false" customHeight="false" outlineLevel="0" collapsed="false">
      <c r="A135" s="11" t="n">
        <v>46204</v>
      </c>
      <c r="B135" s="5" t="s">
        <v>16</v>
      </c>
      <c r="C135" s="5" t="s">
        <v>48</v>
      </c>
      <c r="D135" s="5" t="s">
        <v>83</v>
      </c>
      <c r="E135" s="10" t="n">
        <v>13900</v>
      </c>
      <c r="F135" s="12" t="s">
        <v>130</v>
      </c>
      <c r="G135" s="13" t="s">
        <v>264</v>
      </c>
    </row>
    <row r="136" customFormat="false" ht="15" hidden="false" customHeight="false" outlineLevel="0" collapsed="false">
      <c r="A136" s="11" t="n">
        <v>46204</v>
      </c>
      <c r="B136" s="5" t="s">
        <v>16</v>
      </c>
      <c r="C136" s="5" t="s">
        <v>48</v>
      </c>
      <c r="D136" s="5" t="s">
        <v>50</v>
      </c>
      <c r="E136" s="10" t="n">
        <v>22000</v>
      </c>
      <c r="F136" s="12" t="s">
        <v>130</v>
      </c>
      <c r="G136" s="13" t="s">
        <v>265</v>
      </c>
    </row>
    <row r="137" customFormat="false" ht="15" hidden="false" customHeight="false" outlineLevel="0" collapsed="false">
      <c r="A137" s="11" t="n">
        <v>46204</v>
      </c>
      <c r="B137" s="5" t="s">
        <v>16</v>
      </c>
      <c r="C137" s="5" t="s">
        <v>48</v>
      </c>
      <c r="D137" s="5" t="s">
        <v>52</v>
      </c>
      <c r="E137" s="10" t="n">
        <v>2800</v>
      </c>
      <c r="F137" s="12" t="s">
        <v>130</v>
      </c>
      <c r="G137" s="13" t="s">
        <v>266</v>
      </c>
    </row>
    <row r="138" customFormat="false" ht="15" hidden="false" customHeight="false" outlineLevel="0" collapsed="false">
      <c r="A138" s="11" t="n">
        <v>46204</v>
      </c>
      <c r="B138" s="5" t="s">
        <v>16</v>
      </c>
      <c r="C138" s="5" t="s">
        <v>48</v>
      </c>
      <c r="D138" s="5" t="s">
        <v>52</v>
      </c>
      <c r="E138" s="10" t="n">
        <v>2000</v>
      </c>
      <c r="F138" s="12" t="s">
        <v>130</v>
      </c>
      <c r="G138" s="13" t="s">
        <v>267</v>
      </c>
    </row>
    <row r="139" customFormat="false" ht="15" hidden="false" customHeight="false" outlineLevel="0" collapsed="false">
      <c r="A139" s="11" t="n">
        <v>46204</v>
      </c>
      <c r="B139" s="5" t="s">
        <v>16</v>
      </c>
      <c r="C139" s="5" t="s">
        <v>53</v>
      </c>
      <c r="D139" s="5" t="s">
        <v>94</v>
      </c>
      <c r="E139" s="10" t="n">
        <v>43125</v>
      </c>
      <c r="F139" s="12" t="s">
        <v>130</v>
      </c>
      <c r="G139" s="13" t="s">
        <v>268</v>
      </c>
    </row>
    <row r="140" customFormat="false" ht="15" hidden="false" customHeight="false" outlineLevel="0" collapsed="false">
      <c r="A140" s="11" t="n">
        <v>46204</v>
      </c>
      <c r="B140" s="5" t="s">
        <v>16</v>
      </c>
      <c r="C140" s="5" t="s">
        <v>53</v>
      </c>
      <c r="D140" s="5" t="s">
        <v>95</v>
      </c>
      <c r="E140" s="10" t="n">
        <v>42000</v>
      </c>
      <c r="F140" s="12" t="s">
        <v>130</v>
      </c>
      <c r="G140" s="13" t="s">
        <v>269</v>
      </c>
    </row>
    <row r="141" customFormat="false" ht="15" hidden="false" customHeight="false" outlineLevel="0" collapsed="false">
      <c r="A141" s="11" t="n">
        <v>46204</v>
      </c>
      <c r="B141" s="5" t="s">
        <v>16</v>
      </c>
      <c r="C141" s="5" t="s">
        <v>53</v>
      </c>
      <c r="D141" s="5" t="s">
        <v>96</v>
      </c>
      <c r="E141" s="10" t="n">
        <v>38000</v>
      </c>
      <c r="F141" s="12" t="s">
        <v>130</v>
      </c>
      <c r="G141" s="13" t="s">
        <v>270</v>
      </c>
    </row>
    <row r="142" customFormat="false" ht="15" hidden="false" customHeight="false" outlineLevel="0" collapsed="false">
      <c r="A142" s="11" t="n">
        <v>46204</v>
      </c>
      <c r="B142" s="5" t="s">
        <v>16</v>
      </c>
      <c r="C142" s="5" t="s">
        <v>53</v>
      </c>
      <c r="D142" s="5" t="s">
        <v>97</v>
      </c>
      <c r="E142" s="10" t="n">
        <v>16680</v>
      </c>
      <c r="F142" s="12" t="s">
        <v>130</v>
      </c>
      <c r="G142" s="13" t="s">
        <v>271</v>
      </c>
    </row>
    <row r="143" customFormat="false" ht="15" hidden="false" customHeight="false" outlineLevel="0" collapsed="false">
      <c r="A143" s="11" t="n">
        <v>46204</v>
      </c>
      <c r="B143" s="5" t="s">
        <v>16</v>
      </c>
      <c r="C143" s="5" t="s">
        <v>53</v>
      </c>
      <c r="D143" s="5" t="s">
        <v>98</v>
      </c>
      <c r="E143" s="10" t="n">
        <v>40000</v>
      </c>
      <c r="F143" s="12" t="s">
        <v>130</v>
      </c>
      <c r="G143" s="13" t="s">
        <v>272</v>
      </c>
    </row>
    <row r="144" customFormat="false" ht="15" hidden="false" customHeight="false" outlineLevel="0" collapsed="false">
      <c r="A144" s="11" t="n">
        <v>46235</v>
      </c>
      <c r="B144" s="5" t="s">
        <v>17</v>
      </c>
      <c r="C144" s="5" t="s">
        <v>31</v>
      </c>
      <c r="D144" s="5" t="s">
        <v>32</v>
      </c>
      <c r="E144" s="10" t="n">
        <v>90000</v>
      </c>
      <c r="F144" s="12" t="s">
        <v>130</v>
      </c>
      <c r="G144" s="13" t="s">
        <v>273</v>
      </c>
    </row>
    <row r="145" customFormat="false" ht="15" hidden="false" customHeight="false" outlineLevel="0" collapsed="false">
      <c r="A145" s="11" t="n">
        <v>46235</v>
      </c>
      <c r="B145" s="5" t="s">
        <v>17</v>
      </c>
      <c r="C145" s="5" t="s">
        <v>31</v>
      </c>
      <c r="D145" s="5" t="s">
        <v>33</v>
      </c>
      <c r="E145" s="10" t="n">
        <v>15651</v>
      </c>
      <c r="F145" s="12" t="s">
        <v>130</v>
      </c>
      <c r="G145" s="13" t="s">
        <v>274</v>
      </c>
    </row>
    <row r="146" customFormat="false" ht="15" hidden="false" customHeight="false" outlineLevel="0" collapsed="false">
      <c r="A146" s="11" t="n">
        <v>46235</v>
      </c>
      <c r="B146" s="5" t="s">
        <v>17</v>
      </c>
      <c r="C146" s="5" t="s">
        <v>31</v>
      </c>
      <c r="D146" s="5" t="s">
        <v>34</v>
      </c>
      <c r="E146" s="10" t="n">
        <v>15050</v>
      </c>
      <c r="F146" s="12" t="s">
        <v>130</v>
      </c>
      <c r="G146" s="13" t="s">
        <v>275</v>
      </c>
    </row>
    <row r="147" customFormat="false" ht="15" hidden="false" customHeight="false" outlineLevel="0" collapsed="false">
      <c r="A147" s="11" t="n">
        <v>46235</v>
      </c>
      <c r="B147" s="5" t="s">
        <v>17</v>
      </c>
      <c r="C147" s="5" t="s">
        <v>99</v>
      </c>
      <c r="D147" s="5" t="s">
        <v>101</v>
      </c>
      <c r="E147" s="10" t="n">
        <v>1890</v>
      </c>
      <c r="F147" s="12" t="s">
        <v>130</v>
      </c>
      <c r="G147" s="13" t="s">
        <v>276</v>
      </c>
    </row>
    <row r="148" customFormat="false" ht="15" hidden="false" customHeight="false" outlineLevel="0" collapsed="false">
      <c r="A148" s="11" t="n">
        <v>46235</v>
      </c>
      <c r="B148" s="5" t="s">
        <v>17</v>
      </c>
      <c r="C148" s="5" t="s">
        <v>99</v>
      </c>
      <c r="D148" s="5" t="s">
        <v>103</v>
      </c>
      <c r="E148" s="10" t="n">
        <v>8256</v>
      </c>
      <c r="F148" s="12" t="s">
        <v>130</v>
      </c>
      <c r="G148" s="13" t="s">
        <v>277</v>
      </c>
    </row>
    <row r="149" customFormat="false" ht="15" hidden="false" customHeight="false" outlineLevel="0" collapsed="false">
      <c r="A149" s="11" t="n">
        <v>46235</v>
      </c>
      <c r="B149" s="5" t="s">
        <v>17</v>
      </c>
      <c r="C149" s="5" t="s">
        <v>99</v>
      </c>
      <c r="D149" s="5" t="s">
        <v>93</v>
      </c>
      <c r="E149" s="10" t="n">
        <v>2450</v>
      </c>
      <c r="F149" s="12" t="s">
        <v>130</v>
      </c>
      <c r="G149" s="13" t="s">
        <v>278</v>
      </c>
    </row>
    <row r="150" customFormat="false" ht="15" hidden="false" customHeight="false" outlineLevel="0" collapsed="false">
      <c r="A150" s="11" t="n">
        <v>46235</v>
      </c>
      <c r="B150" s="5" t="s">
        <v>17</v>
      </c>
      <c r="C150" s="5" t="s">
        <v>48</v>
      </c>
      <c r="D150" s="5" t="s">
        <v>83</v>
      </c>
      <c r="E150" s="10" t="n">
        <v>13900</v>
      </c>
      <c r="F150" s="12" t="s">
        <v>130</v>
      </c>
      <c r="G150" s="13" t="s">
        <v>279</v>
      </c>
    </row>
    <row r="151" customFormat="false" ht="15" hidden="false" customHeight="false" outlineLevel="0" collapsed="false">
      <c r="A151" s="11" t="n">
        <v>46235</v>
      </c>
      <c r="B151" s="5" t="s">
        <v>17</v>
      </c>
      <c r="C151" s="5" t="s">
        <v>48</v>
      </c>
      <c r="D151" s="5" t="s">
        <v>52</v>
      </c>
      <c r="E151" s="10" t="n">
        <v>2800</v>
      </c>
      <c r="F151" s="12" t="s">
        <v>130</v>
      </c>
      <c r="G151" s="13" t="s">
        <v>280</v>
      </c>
    </row>
    <row r="152" customFormat="false" ht="15" hidden="false" customHeight="false" outlineLevel="0" collapsed="false">
      <c r="A152" s="11" t="n">
        <v>46235</v>
      </c>
      <c r="B152" s="5" t="s">
        <v>17</v>
      </c>
      <c r="C152" s="5" t="s">
        <v>53</v>
      </c>
      <c r="D152" s="5" t="s">
        <v>106</v>
      </c>
      <c r="E152" s="10" t="n">
        <v>59000</v>
      </c>
      <c r="F152" s="12" t="s">
        <v>130</v>
      </c>
      <c r="G152" s="13" t="s">
        <v>281</v>
      </c>
    </row>
    <row r="153" customFormat="false" ht="15" hidden="false" customHeight="false" outlineLevel="0" collapsed="false">
      <c r="A153" s="11" t="n">
        <v>46235</v>
      </c>
      <c r="B153" s="5" t="s">
        <v>17</v>
      </c>
      <c r="C153" s="5" t="s">
        <v>53</v>
      </c>
      <c r="D153" s="5" t="s">
        <v>91</v>
      </c>
      <c r="E153" s="10" t="n">
        <v>12000</v>
      </c>
      <c r="F153" s="12" t="s">
        <v>130</v>
      </c>
      <c r="G153" s="13" t="s">
        <v>282</v>
      </c>
    </row>
    <row r="154" customFormat="false" ht="15" hidden="false" customHeight="false" outlineLevel="0" collapsed="false">
      <c r="A154" s="11" t="n">
        <v>46235</v>
      </c>
      <c r="B154" s="5" t="s">
        <v>17</v>
      </c>
      <c r="C154" s="5" t="s">
        <v>53</v>
      </c>
      <c r="D154" s="5" t="s">
        <v>107</v>
      </c>
      <c r="E154" s="10" t="n">
        <v>50000</v>
      </c>
      <c r="F154" s="12" t="s">
        <v>130</v>
      </c>
      <c r="G154" s="13" t="s">
        <v>283</v>
      </c>
    </row>
    <row r="155" customFormat="false" ht="15" hidden="false" customHeight="false" outlineLevel="0" collapsed="false">
      <c r="A155" s="11" t="n">
        <v>46235</v>
      </c>
      <c r="B155" s="5" t="s">
        <v>17</v>
      </c>
      <c r="C155" s="5" t="s">
        <v>53</v>
      </c>
      <c r="D155" s="5" t="s">
        <v>108</v>
      </c>
      <c r="E155" s="10" t="n">
        <v>45000</v>
      </c>
      <c r="F155" s="12" t="s">
        <v>130</v>
      </c>
      <c r="G155" s="13" t="s">
        <v>284</v>
      </c>
    </row>
    <row r="156" customFormat="false" ht="15" hidden="false" customHeight="false" outlineLevel="0" collapsed="false">
      <c r="A156" s="11" t="n">
        <v>46266</v>
      </c>
      <c r="B156" s="5" t="s">
        <v>18</v>
      </c>
      <c r="C156" s="5" t="s">
        <v>28</v>
      </c>
      <c r="D156" s="5" t="s">
        <v>29</v>
      </c>
      <c r="E156" s="10" t="n">
        <v>497150</v>
      </c>
      <c r="F156" s="12" t="s">
        <v>130</v>
      </c>
      <c r="G156" s="13" t="s">
        <v>285</v>
      </c>
    </row>
    <row r="157" customFormat="false" ht="15" hidden="false" customHeight="false" outlineLevel="0" collapsed="false">
      <c r="A157" s="11" t="n">
        <v>46266</v>
      </c>
      <c r="B157" s="5" t="s">
        <v>18</v>
      </c>
      <c r="C157" s="5" t="s">
        <v>28</v>
      </c>
      <c r="D157" s="5" t="s">
        <v>30</v>
      </c>
      <c r="E157" s="10" t="n">
        <v>80000</v>
      </c>
      <c r="F157" s="12" t="s">
        <v>130</v>
      </c>
      <c r="G157" s="13" t="s">
        <v>286</v>
      </c>
    </row>
    <row r="158" customFormat="false" ht="15" hidden="false" customHeight="false" outlineLevel="0" collapsed="false">
      <c r="A158" s="11" t="n">
        <v>46266</v>
      </c>
      <c r="B158" s="5" t="s">
        <v>18</v>
      </c>
      <c r="C158" s="5" t="s">
        <v>31</v>
      </c>
      <c r="D158" s="5" t="s">
        <v>34</v>
      </c>
      <c r="E158" s="10" t="n">
        <v>15015</v>
      </c>
      <c r="F158" s="12" t="s">
        <v>130</v>
      </c>
      <c r="G158" s="13" t="s">
        <v>287</v>
      </c>
    </row>
    <row r="159" customFormat="false" ht="15" hidden="false" customHeight="false" outlineLevel="0" collapsed="false">
      <c r="A159" s="11" t="n">
        <v>46266</v>
      </c>
      <c r="B159" s="5" t="s">
        <v>18</v>
      </c>
      <c r="C159" s="5" t="s">
        <v>99</v>
      </c>
      <c r="D159" s="5" t="s">
        <v>103</v>
      </c>
      <c r="E159" s="10" t="n">
        <v>8410</v>
      </c>
      <c r="F159" s="12" t="s">
        <v>130</v>
      </c>
      <c r="G159" s="13" t="s">
        <v>288</v>
      </c>
    </row>
    <row r="160" customFormat="false" ht="15" hidden="false" customHeight="false" outlineLevel="0" collapsed="false">
      <c r="A160" s="11" t="n">
        <v>46266</v>
      </c>
      <c r="B160" s="5" t="s">
        <v>18</v>
      </c>
      <c r="C160" s="5" t="s">
        <v>99</v>
      </c>
      <c r="D160" s="5" t="s">
        <v>109</v>
      </c>
      <c r="E160" s="10" t="n">
        <v>2799</v>
      </c>
      <c r="F160" s="12" t="s">
        <v>130</v>
      </c>
      <c r="G160" s="13" t="s">
        <v>289</v>
      </c>
    </row>
    <row r="161" customFormat="false" ht="15" hidden="false" customHeight="false" outlineLevel="0" collapsed="false">
      <c r="A161" s="11" t="n">
        <v>46266</v>
      </c>
      <c r="B161" s="5" t="s">
        <v>18</v>
      </c>
      <c r="C161" s="5" t="s">
        <v>42</v>
      </c>
      <c r="D161" s="5" t="s">
        <v>43</v>
      </c>
      <c r="E161" s="10" t="n">
        <v>18712</v>
      </c>
      <c r="F161" s="12" t="s">
        <v>130</v>
      </c>
      <c r="G161" s="13" t="s">
        <v>290</v>
      </c>
    </row>
    <row r="162" customFormat="false" ht="15" hidden="false" customHeight="false" outlineLevel="0" collapsed="false">
      <c r="A162" s="11" t="n">
        <v>46266</v>
      </c>
      <c r="B162" s="5" t="s">
        <v>18</v>
      </c>
      <c r="C162" s="5" t="s">
        <v>42</v>
      </c>
      <c r="D162" s="5" t="s">
        <v>46</v>
      </c>
      <c r="E162" s="10" t="n">
        <v>25000</v>
      </c>
      <c r="F162" s="12" t="s">
        <v>130</v>
      </c>
      <c r="G162" s="13" t="s">
        <v>291</v>
      </c>
    </row>
    <row r="163" customFormat="false" ht="15" hidden="false" customHeight="false" outlineLevel="0" collapsed="false">
      <c r="A163" s="11" t="n">
        <v>46266</v>
      </c>
      <c r="B163" s="5" t="s">
        <v>18</v>
      </c>
      <c r="C163" s="5" t="s">
        <v>53</v>
      </c>
      <c r="D163" s="5" t="s">
        <v>107</v>
      </c>
      <c r="E163" s="10" t="n">
        <v>65000</v>
      </c>
      <c r="F163" s="12" t="s">
        <v>130</v>
      </c>
      <c r="G163" s="13" t="s">
        <v>292</v>
      </c>
    </row>
  </sheetData>
  <autoFilter ref="A1:G1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2026-09-24T12:05:21Z</dcterms:created>
  <dc:creator>openpyxl</dc:creator>
  <dc:description/>
  <dc:language>en-US</dc:language>
  <cp:lastModifiedBy/>
  <dcterms:modified xsi:type="dcterms:W3CDTF">2026-09-24T12:05:21Z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